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 2 Calendar" sheetId="1" state="visible" r:id="rId3"/>
    <sheet name="Event Details" sheetId="2" state="visible" r:id="rId4"/>
  </sheets>
  <definedNames>
    <definedName function="false" hidden="false" localSheetId="1" name="_xlnm.Print_Titles" vbProcedure="false">'Event Details'!$1:$1</definedName>
    <definedName function="false" hidden="true" localSheetId="1" name="_xlnm._FilterDatabase" vbProcedure="false">'Event Details'!$A$1:$M$31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<sst xmlns="http://schemas.openxmlformats.org/spreadsheetml/2006/main" count="516" uniqueCount="215">
  <si>
    <t xml:space="preserve">SASS Events Calendar  |  Semester 2, 2026</t>
  </si>
  <si>
    <t xml:space="preserve">Mock plan for portfolio purposes. Teaching weeks assume Week 1 starts 27 Jul 2026. Confirm against the official academic calendar. Venues, times and partner clubs are placeholders.</t>
  </si>
  <si>
    <t xml:space="preserve">J U L</t>
  </si>
  <si>
    <t xml:space="preserve">A U G</t>
  </si>
  <si>
    <t xml:space="preserve">S E P T</t>
  </si>
  <si>
    <t xml:space="preserve">WEEK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</si>
  <si>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</si>
  <si>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</si>
  <si>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</si>
  <si>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</si>
  <si>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</si>
  <si>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</si>
  <si>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</si>
  <si>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BREAK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</si>
  <si>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</si>
  <si>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</si>
  <si>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</si>
  <si>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</si>
  <si>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</si>
  <si>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WEEK 1</t>
  </si>
  <si>
    <t xml:space="preserve">WEEK 6</t>
  </si>
  <si>
    <t xml:space="preserve">4
Canva / Public Workshop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</si>
  <si>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</si>
  <si>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</si>
  <si>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</si>
  <si>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</si>
  <si>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</si>
  <si>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</si>
  <si>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</si>
  <si>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WEEK 2</t>
  </si>
  <si>
    <t xml:space="preserve">6
Canva / Public Workshop</t>
  </si>
  <si>
    <t xml:space="preserve">MID-SEM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</si>
  <si>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</si>
  <si>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</si>
  <si>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</si>
  <si>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</si>
  <si>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</si>
  <si>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</si>
  <si>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</si>
  <si>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WEEK 3</t>
  </si>
  <si>
    <t xml:space="preserve">13
Thrifty Thurs</t>
  </si>
  <si>
    <t xml:space="preserve">14
Merch Pre-orders Open</t>
  </si>
  <si>
    <t xml:space="preserve">WEEK 7</t>
  </si>
  <si>
    <t xml:space="preserve">16
Malaysia Day</t>
  </si>
  <si>
    <t xml:space="preserve">18
Merch Collection Day</t>
  </si>
  <si>
    <t xml:space="preserve">19
Monash Cup Closing</t>
  </si>
  <si>
    <t xml:space="preserve">20</t>
  </si>
  <si>
    <t xml:space="preserve">O-WEEK</t>
  </si>
  <si>
    <t xml:space="preserve">21</t>
  </si>
  <si>
    <t xml:space="preserve">22
O-Week Clubs Booth</t>
  </si>
  <si>
    <t xml:space="preserve">23</t>
  </si>
  <si>
    <t xml:space="preserve">24</t>
  </si>
  <si>
    <t xml:space="preserve">25</t>
  </si>
  <si>
    <t xml:space="preserve">26</t>
  </si>
  <si>
    <t xml:space="preserve">WEEK 4</t>
  </si>
  <si>
    <t xml:space="preserve">21
Monash Cup Opening</t>
  </si>
  <si>
    <t xml:space="preserve">22</t>
  </si>
  <si>
    <t xml:space="preserve">WEEK 8</t>
  </si>
  <si>
    <t xml:space="preserve">25
Movie Night</t>
  </si>
  <si>
    <t xml:space="preserve">27</t>
  </si>
  <si>
    <t xml:space="preserve">28</t>
  </si>
  <si>
    <t xml:space="preserve">29</t>
  </si>
  <si>
    <t xml:space="preserve">30</t>
  </si>
  <si>
    <t xml:space="preserve">31
SASSie Get-Together</t>
  </si>
  <si>
    <t xml:space="preserve">WEEK 5</t>
  </si>
  <si>
    <t xml:space="preserve">25
Maulidur Rasul</t>
  </si>
  <si>
    <t xml:space="preserve">28
Crafternoon</t>
  </si>
  <si>
    <t xml:space="preserve">WEEK 9</t>
  </si>
  <si>
    <t xml:space="preserve">31
Merdeka Day</t>
  </si>
  <si>
    <t xml:space="preserve">O C T</t>
  </si>
  <si>
    <t xml:space="preserve">N O V</t>
  </si>
  <si>
    <t xml:space="preserve">D E C</t>
  </si>
  <si>
    <t xml:space="preserve">2
Canva Drop-in</t>
  </si>
  <si>
    <t xml:space="preserve">WEEK 13</t>
  </si>
  <si>
    <t xml:space="preserve">1
Halloween</t>
  </si>
  <si>
    <t xml:space="preserve">5
AGM and Elections</t>
  </si>
  <si>
    <t xml:space="preserve">WEEK 10</t>
  </si>
  <si>
    <t xml:space="preserve">9
Photo Walk</t>
  </si>
  <si>
    <t xml:space="preserve">SWOTVAC</t>
  </si>
  <si>
    <t xml:space="preserve">8
Deepavali</t>
  </si>
  <si>
    <t xml:space="preserve">11
Sultan of Selangor's Birthday</t>
  </si>
  <si>
    <t xml:space="preserve">12
Committee Handover</t>
  </si>
  <si>
    <t xml:space="preserve">WEEK 11</t>
  </si>
  <si>
    <t xml:space="preserve">16
Crafternoon: Zine Making</t>
  </si>
  <si>
    <t xml:space="preserve">EXAMS</t>
  </si>
  <si>
    <t xml:space="preserve">9
Deepavali (replacement)</t>
  </si>
  <si>
    <t xml:space="preserve">10
Deepavali (additional)</t>
  </si>
  <si>
    <t xml:space="preserve">WEEK 12</t>
  </si>
  <si>
    <t xml:space="preserve">22
End Sem Kit Packing</t>
  </si>
  <si>
    <t xml:space="preserve">23
End Sem Kit Giveaway</t>
  </si>
  <si>
    <t xml:space="preserve">25
Christmas Day</t>
  </si>
  <si>
    <t xml:space="preserve">30
Halloween</t>
  </si>
  <si>
    <t xml:space="preserve">31
Halloween</t>
  </si>
  <si>
    <t xml:space="preserve">28
Post-Exam SASSie Night</t>
  </si>
  <si>
    <t xml:space="preserve">31</t>
  </si>
  <si>
    <t xml:space="preserve">LEGEND</t>
  </si>
  <si>
    <t xml:space="preserve">Category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</si>
  <si>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</si>
  <si>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</si>
  <si>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</si>
  <si>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</si>
  <si>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</si>
  <si>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</si>
  <si>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Break/Holiday</t>
  </si>
  <si>
    <t xml:space="preserve">Merch Related</t>
  </si>
  <si>
    <t xml:space="preserve">MUSA Events</t>
  </si>
  <si>
    <t xml:space="preserve">SASS Events</t>
  </si>
  <si>
    <t xml:space="preserve">Orientations</t>
  </si>
  <si>
    <t xml:space="preserve">Collaborations</t>
  </si>
  <si>
    <t xml:space="preserve">Total</t>
  </si>
  <si>
    <t xml:space="preserve">Counts update from the Event Details tab.</t>
  </si>
  <si>
    <t xml:space="preserve">Date</t>
  </si>
  <si>
    <t xml:space="preserve">Day</t>
  </si>
  <si>
    <t xml:space="preserve">Teaching Week</t>
  </si>
  <si>
    <t xml:space="preserve">Event</t>
  </si>
  <si>
    <t xml:space="preserve">Time</t>
  </si>
  <si>
    <t xml:space="preserve">Venue</t>
  </si>
  <si>
    <t xml:space="preserve">Lead</t>
  </si>
  <si>
    <t xml:space="preserve">Partner</t>
  </si>
  <si>
    <t xml:space="preserve">Description</t>
  </si>
  <si>
    <t xml:space="preserve">Promo Starts</t>
  </si>
  <si>
    <t xml:space="preserve">Final Reminder</t>
  </si>
  <si>
    <t xml:space="preserve">Status</t>
  </si>
  <si>
    <t xml:space="preserve">O-Week Clubs Booth</t>
  </si>
  <si>
    <t xml:space="preserve">10am to 4pm</t>
  </si>
  <si>
    <t xml:space="preserve">[CLUBS FAIR VENUE]</t>
  </si>
  <si>
    <t xml:space="preserve">President, Marketing</t>
  </si>
  <si>
    <t xml:space="preserve">Recruit new members, run a spin-the-wheel game and collect sign-ups for the welcome get-together.</t>
  </si>
  <si>
    <t xml:space="preserve">Confirmed</t>
  </si>
  <si>
    <t xml:space="preserve">SASSie Get-Together</t>
  </si>
  <si>
    <t xml:space="preserve">5pm to 7pm</t>
  </si>
  <si>
    <t xml:space="preserve">[ROOM / LOUNGE]</t>
  </si>
  <si>
    <t xml:space="preserve">Events</t>
  </si>
  <si>
    <t xml:space="preserve">Welcome social for new and returning members with icebreakers, snacks and a committee intro.</t>
  </si>
  <si>
    <t xml:space="preserve">Canva / Public Workshop</t>
  </si>
  <si>
    <t xml:space="preserve">4pm to 6pm</t>
  </si>
  <si>
    <t xml:space="preserve">[COMPUTER LAB]</t>
  </si>
  <si>
    <t xml:space="preserve">Events, Design</t>
  </si>
  <si>
    <t xml:space="preserve">Beginner Canva workshop open to all students. Build a poster from scratch using a simple layout system.</t>
  </si>
  <si>
    <t xml:space="preserve">Thrifty Thurs</t>
  </si>
  <si>
    <t xml:space="preserve">11am to 3pm</t>
  </si>
  <si>
    <t xml:space="preserve">[FOYER]</t>
  </si>
  <si>
    <t xml:space="preserve">Pre-loved clothing swap and mini thrift market. Bring 3 items, take 3 items.</t>
  </si>
  <si>
    <t xml:space="preserve">Merch Pre-orders Open</t>
  </si>
  <si>
    <t xml:space="preserve">All day</t>
  </si>
  <si>
    <t xml:space="preserve">Online form</t>
  </si>
  <si>
    <t xml:space="preserve">Merch, Marketing</t>
  </si>
  <si>
    <t xml:space="preserve">Launch of semester merch pre-orders (tote bags and tees). Pre-orders close 28 Aug.</t>
  </si>
  <si>
    <t xml:space="preserve">Monash Cup Opening</t>
  </si>
  <si>
    <t xml:space="preserve">[TIME]</t>
  </si>
  <si>
    <t xml:space="preserve">[MUSA VENUE]</t>
  </si>
  <si>
    <t xml:space="preserve">Sports Liaison</t>
  </si>
  <si>
    <t xml:space="preserve">MUSA</t>
  </si>
  <si>
    <t xml:space="preserve">MUSA inter-club sports tournament opening. SASS to send a team and a cheer squad.</t>
  </si>
  <si>
    <t xml:space="preserve">Maulidur Rasul</t>
  </si>
  <si>
    <t xml:space="preserve">Public holiday.</t>
  </si>
  <si>
    <t xml:space="preserve">Crafternoon</t>
  </si>
  <si>
    <t xml:space="preserve">2pm to 5pm</t>
  </si>
  <si>
    <t xml:space="preserve">[ROOM]</t>
  </si>
  <si>
    <t xml:space="preserve">Tote bag painting session. Materials provided, limited to 30 spots.</t>
  </si>
  <si>
    <t xml:space="preserve">Merdeka Day</t>
  </si>
  <si>
    <t xml:space="preserve">Intermediate Canva workshop covering social media templates and brand kits.</t>
  </si>
  <si>
    <t xml:space="preserve">Planning</t>
  </si>
  <si>
    <t xml:space="preserve">Malaysia Day</t>
  </si>
  <si>
    <t xml:space="preserve">Public holiday (falls in the week after mid-sem break).</t>
  </si>
  <si>
    <t xml:space="preserve">Merch Collection Day</t>
  </si>
  <si>
    <t xml:space="preserve">11am to 2pm</t>
  </si>
  <si>
    <t xml:space="preserve">Merch</t>
  </si>
  <si>
    <t xml:space="preserve">Pre-ordered merch collection. Walk-in purchases while stocks last.</t>
  </si>
  <si>
    <t xml:space="preserve">Monash Cup Closing</t>
  </si>
  <si>
    <t xml:space="preserve">Monash Cup finals and closing ceremony.</t>
  </si>
  <si>
    <t xml:space="preserve">Movie Night</t>
  </si>
  <si>
    <t xml:space="preserve">7pm to 10pm</t>
  </si>
  <si>
    <t xml:space="preserve">[LECTURE THEATRE]</t>
  </si>
  <si>
    <t xml:space="preserve">Member-voted film screening with popcorn. Poll runs on Instagram Stories the week before.</t>
  </si>
  <si>
    <t xml:space="preserve">Canva Drop-in</t>
  </si>
  <si>
    <t xml:space="preserve">12pm to 2pm</t>
  </si>
  <si>
    <t xml:space="preserve">Design</t>
  </si>
  <si>
    <t xml:space="preserve">Drop-in help session for assignment posters and club graphics.</t>
  </si>
  <si>
    <t xml:space="preserve">Photo Walk</t>
  </si>
  <si>
    <t xml:space="preserve">4.30pm to 6.30pm</t>
  </si>
  <si>
    <t xml:space="preserve">Meet at [LOCATION]</t>
  </si>
  <si>
    <t xml:space="preserve">[PARTNER CLUB]</t>
  </si>
  <si>
    <t xml:space="preserve">Golden hour campus photo walk with basic phone photography tips. Best shots featured on Instagram.</t>
  </si>
  <si>
    <t xml:space="preserve">Crafternoon: Zine Making</t>
  </si>
  <si>
    <t xml:space="preserve">Collage and zine-making session. Finished zines displayed at the end sem kit giveaway.</t>
  </si>
  <si>
    <t xml:space="preserve">End Sem Kit Packing</t>
  </si>
  <si>
    <t xml:space="preserve">3pm to 6pm</t>
  </si>
  <si>
    <t xml:space="preserve">Committee</t>
  </si>
  <si>
    <t xml:space="preserve">Committee and volunteers pack exam care kits (snacks, stationery, study tips card).</t>
  </si>
  <si>
    <t xml:space="preserve">End Sem Kit Giveaway</t>
  </si>
  <si>
    <t xml:space="preserve">Free exam care kits for members. Sign-up required, first come first served.</t>
  </si>
  <si>
    <t xml:space="preserve">Halloween</t>
  </si>
  <si>
    <t xml:space="preserve">[VENUE]</t>
  </si>
  <si>
    <t xml:space="preserve">Three-day Halloween collaboration. Day 1 costume photo booth.</t>
  </si>
  <si>
    <t xml:space="preserve">Day 2 spooky craft corner and costume contest.</t>
  </si>
  <si>
    <t xml:space="preserve">Day 3 horror movie marathon.</t>
  </si>
  <si>
    <t xml:space="preserve">Deepavali</t>
  </si>
  <si>
    <t xml:space="preserve">Deepavali (replacement)</t>
  </si>
  <si>
    <t xml:space="preserve">Deepavali (additional)</t>
  </si>
  <si>
    <t xml:space="preserve">Additional holiday in Selangor. Confirm.</t>
  </si>
  <si>
    <t xml:space="preserve">Post-Exam SASSie Night</t>
  </si>
  <si>
    <t xml:space="preserve">End of semester celebration dinner once exams wrap up.</t>
  </si>
  <si>
    <t xml:space="preserve">AGM and Elections</t>
  </si>
  <si>
    <t xml:space="preserve">2pm to 4pm</t>
  </si>
  <si>
    <t xml:space="preserve">[ROOM] or online</t>
  </si>
  <si>
    <t xml:space="preserve">President, Secretary</t>
  </si>
  <si>
    <t xml:space="preserve">Annual general meeting, year in review and committee elections.</t>
  </si>
  <si>
    <t xml:space="preserve">Sultan of Selangor's Birthday</t>
  </si>
  <si>
    <t xml:space="preserve">Selangor public holiday.</t>
  </si>
  <si>
    <t xml:space="preserve">Committee Handover</t>
  </si>
  <si>
    <t xml:space="preserve">Outgoing committee</t>
  </si>
  <si>
    <t xml:space="preserve">Handover session and bonding lunch for outgoing and incoming committees.</t>
  </si>
  <si>
    <t xml:space="preserve">Christmas Day</t>
  </si>
  <si>
    <t xml:space="preserve">Promo Starts = 10 days before the event (poster goes live). Final Reminder = Instagram Story the day before. Both update if the date changes.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</si>
</sst>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;\-0;\-"/>
    <numFmt numFmtId="166" formatCode="d\ m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AD1DC"/>
        <bgColor rgb="FFD9D2E9"/>
      </patternFill>
    </fill>
    <fill>
      <patternFill patternType="solid">
        <fgColor rgb="FFD9D9D9"/>
        <bgColor rgb="FFD9D2E9"/>
      </patternFill>
    </fill>
    <fill>
      <patternFill patternType="solid">
        <fgColor rgb="FFCFE2F3"/>
        <bgColor rgb="FFD9D9D9"/>
      </patternFill>
    </fill>
    <fill>
      <patternFill patternType="solid">
        <fgColor rgb="FFFFF2CC"/>
        <bgColor rgb="FFF3F3F3"/>
      </patternFill>
    </fill>
    <fill>
      <patternFill patternType="solid">
        <fgColor rgb="FFD9D2E9"/>
        <bgColor rgb="FFD9D9D9"/>
      </patternFill>
    </fill>
    <fill>
      <patternFill patternType="solid">
        <fgColor rgb="FFD9EAD3"/>
        <bgColor rgb="FFD9D9D9"/>
      </patternFill>
    </fill>
    <fill>
      <patternFill patternType="solid">
        <fgColor rgb="FFF3F3F3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7F7F7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F3F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FFF2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D1DC"/>
    <pageSetUpPr fitToPage="true"/>
  </sheetPr>
  <dimension ref="A1:Z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2.5"/>
    <col collapsed="false" customWidth="true" hidden="false" outlineLevel="0" max="9" min="9" style="0" width="3"/>
    <col collapsed="false" customWidth="true" hidden="false" outlineLevel="0" max="10" min="10" style="0" width="10"/>
    <col collapsed="false" customWidth="true" hidden="false" outlineLevel="0" max="17" min="11" style="0" width="12.5"/>
    <col collapsed="false" customWidth="true" hidden="false" outlineLevel="0" max="18" min="18" style="0" width="3"/>
    <col collapsed="false" customWidth="true" hidden="false" outlineLevel="0" max="19" min="19" style="0" width="10"/>
    <col collapsed="false" customWidth="true" hidden="false" outlineLevel="0" max="26" min="20" style="0" width="12.5"/>
    <col collapsed="false" customWidth="true" hidden="false" outlineLevel="0" max="27" min="27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30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K4" s="3" t="s">
        <v>3</v>
      </c>
      <c r="L4" s="3"/>
      <c r="M4" s="3"/>
      <c r="N4" s="3"/>
      <c r="O4" s="3"/>
      <c r="P4" s="3"/>
      <c r="Q4" s="3"/>
      <c r="T4" s="3" t="s">
        <v>4</v>
      </c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J5" s="4" t="s">
        <v>5</v>
      </c>
      <c r="K5" s="5" t="s">
        <v>6</v>
      </c>
      <c r="L5" s="5" t="s">
        <v>7</v>
      </c>
      <c r="M5" s="5" t="s">
        <v>8</v>
      </c>
      <c r="N5" s="5" t="s">
        <v>9</v>
      </c>
      <c r="O5" s="5" t="s">
        <v>10</v>
      </c>
      <c r="P5" s="5" t="s">
        <v>11</v>
      </c>
      <c r="Q5" s="5" t="s">
        <v>12</v>
      </c>
      <c r="S5" s="4" t="s">
        <v>5</v>
      </c>
      <c r="T5" s="5" t="s">
        <v>6</v>
      </c>
      <c r="U5" s="5" t="s">
        <v>7</v>
      </c>
      <c r="V5" s="5" t="s">
        <v>8</v>
      </c>
      <c r="W5" s="5" t="s">
        <v>9</v>
      </c>
      <c r="X5" s="5" t="s">
        <v>10</v>
      </c>
      <c r="Y5" s="5" t="s">
        <v>11</v>
      </c>
      <c r="Z5" s="5" t="s">
        <v>12</v>
      </c>
    </row>
    <row r="6" customFormat="false" ht="33.75" hidden="false" customHeight="true" outlineLevel="0" collapsed="false">
      <c r="A6" s="6" t="s">
        <v>13</v>
      </c>
      <c r="B6" s="7"/>
      <c r="C6" s="7"/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J6" s="6" t="s">
        <v>19</v>
      </c>
      <c r="K6" s="7"/>
      <c r="L6" s="7"/>
      <c r="M6" s="7"/>
      <c r="N6" s="7"/>
      <c r="O6" s="7"/>
      <c r="P6" s="8" t="s">
        <v>14</v>
      </c>
      <c r="Q6" s="8" t="s">
        <v>15</v>
      </c>
      <c r="S6" s="6" t="s">
        <v>20</v>
      </c>
      <c r="T6" s="7"/>
      <c r="U6" s="8" t="s">
        <v>14</v>
      </c>
      <c r="V6" s="8" t="s">
        <v>15</v>
      </c>
      <c r="W6" s="8" t="s">
        <v>16</v>
      </c>
      <c r="X6" s="9" t="s">
        <v>21</v>
      </c>
      <c r="Y6" s="8" t="s">
        <v>18</v>
      </c>
      <c r="Z6" s="8" t="s">
        <v>22</v>
      </c>
    </row>
    <row r="7" customFormat="false" ht="33.75" hidden="false" customHeight="true" outlineLevel="0" collapsed="false">
      <c r="A7" s="6" t="s">
        <v>13</v>
      </c>
      <c r="B7" s="8" t="s">
        <v>22</v>
      </c>
      <c r="C7" s="8" t="s">
        <v>23</v>
      </c>
      <c r="D7" s="8" t="s">
        <v>24</v>
      </c>
      <c r="E7" s="8" t="s">
        <v>25</v>
      </c>
      <c r="F7" s="8" t="s">
        <v>26</v>
      </c>
      <c r="G7" s="8" t="s">
        <v>27</v>
      </c>
      <c r="H7" s="8" t="s">
        <v>28</v>
      </c>
      <c r="J7" s="6" t="s">
        <v>29</v>
      </c>
      <c r="K7" s="8" t="s">
        <v>16</v>
      </c>
      <c r="L7" s="8" t="s">
        <v>17</v>
      </c>
      <c r="M7" s="8" t="s">
        <v>18</v>
      </c>
      <c r="N7" s="9" t="s">
        <v>30</v>
      </c>
      <c r="O7" s="8" t="s">
        <v>23</v>
      </c>
      <c r="P7" s="8" t="s">
        <v>24</v>
      </c>
      <c r="Q7" s="8" t="s">
        <v>25</v>
      </c>
      <c r="S7" s="10" t="s">
        <v>31</v>
      </c>
      <c r="T7" s="11" t="s">
        <v>23</v>
      </c>
      <c r="U7" s="11" t="s">
        <v>24</v>
      </c>
      <c r="V7" s="11" t="s">
        <v>25</v>
      </c>
      <c r="W7" s="11" t="s">
        <v>26</v>
      </c>
      <c r="X7" s="11" t="s">
        <v>27</v>
      </c>
      <c r="Y7" s="11" t="s">
        <v>28</v>
      </c>
      <c r="Z7" s="11" t="s">
        <v>32</v>
      </c>
    </row>
    <row r="8" customFormat="false" ht="33.75" hidden="false" customHeight="true" outlineLevel="0" collapsed="false">
      <c r="A8" s="6" t="s">
        <v>13</v>
      </c>
      <c r="B8" s="8" t="s">
        <v>32</v>
      </c>
      <c r="C8" s="8" t="s">
        <v>33</v>
      </c>
      <c r="D8" s="8" t="s">
        <v>34</v>
      </c>
      <c r="E8" s="8" t="s">
        <v>35</v>
      </c>
      <c r="F8" s="8" t="s">
        <v>36</v>
      </c>
      <c r="G8" s="8" t="s">
        <v>37</v>
      </c>
      <c r="H8" s="8" t="s">
        <v>38</v>
      </c>
      <c r="J8" s="6" t="s">
        <v>39</v>
      </c>
      <c r="K8" s="8" t="s">
        <v>26</v>
      </c>
      <c r="L8" s="8" t="s">
        <v>27</v>
      </c>
      <c r="M8" s="8" t="s">
        <v>28</v>
      </c>
      <c r="N8" s="9" t="s">
        <v>40</v>
      </c>
      <c r="O8" s="12" t="s">
        <v>41</v>
      </c>
      <c r="P8" s="8" t="s">
        <v>34</v>
      </c>
      <c r="Q8" s="8" t="s">
        <v>35</v>
      </c>
      <c r="S8" s="6" t="s">
        <v>42</v>
      </c>
      <c r="T8" s="8" t="s">
        <v>33</v>
      </c>
      <c r="U8" s="8" t="s">
        <v>34</v>
      </c>
      <c r="V8" s="11" t="s">
        <v>43</v>
      </c>
      <c r="W8" s="8" t="s">
        <v>36</v>
      </c>
      <c r="X8" s="12" t="s">
        <v>44</v>
      </c>
      <c r="Y8" s="13" t="s">
        <v>45</v>
      </c>
      <c r="Z8" s="8" t="s">
        <v>46</v>
      </c>
    </row>
    <row r="9" customFormat="false" ht="33.75" hidden="false" customHeight="true" outlineLevel="0" collapsed="false">
      <c r="A9" s="6" t="s">
        <v>47</v>
      </c>
      <c r="B9" s="8" t="s">
        <v>46</v>
      </c>
      <c r="C9" s="8" t="s">
        <v>48</v>
      </c>
      <c r="D9" s="14" t="s">
        <v>49</v>
      </c>
      <c r="E9" s="8" t="s">
        <v>50</v>
      </c>
      <c r="F9" s="8" t="s">
        <v>51</v>
      </c>
      <c r="G9" s="8" t="s">
        <v>52</v>
      </c>
      <c r="H9" s="8" t="s">
        <v>53</v>
      </c>
      <c r="J9" s="6" t="s">
        <v>54</v>
      </c>
      <c r="K9" s="8" t="s">
        <v>36</v>
      </c>
      <c r="L9" s="8" t="s">
        <v>37</v>
      </c>
      <c r="M9" s="8" t="s">
        <v>38</v>
      </c>
      <c r="N9" s="8" t="s">
        <v>46</v>
      </c>
      <c r="O9" s="13" t="s">
        <v>55</v>
      </c>
      <c r="P9" s="8" t="s">
        <v>56</v>
      </c>
      <c r="Q9" s="8" t="s">
        <v>50</v>
      </c>
      <c r="S9" s="6" t="s">
        <v>57</v>
      </c>
      <c r="T9" s="8" t="s">
        <v>48</v>
      </c>
      <c r="U9" s="8" t="s">
        <v>56</v>
      </c>
      <c r="V9" s="8" t="s">
        <v>50</v>
      </c>
      <c r="W9" s="8" t="s">
        <v>51</v>
      </c>
      <c r="X9" s="9" t="s">
        <v>58</v>
      </c>
      <c r="Y9" s="8" t="s">
        <v>53</v>
      </c>
      <c r="Z9" s="8" t="s">
        <v>59</v>
      </c>
    </row>
    <row r="10" customFormat="false" ht="33.75" hidden="false" customHeight="true" outlineLevel="0" collapsed="false">
      <c r="A10" s="6" t="s">
        <v>19</v>
      </c>
      <c r="B10" s="8" t="s">
        <v>59</v>
      </c>
      <c r="C10" s="8" t="s">
        <v>60</v>
      </c>
      <c r="D10" s="8" t="s">
        <v>61</v>
      </c>
      <c r="E10" s="8" t="s">
        <v>62</v>
      </c>
      <c r="F10" s="9" t="s">
        <v>63</v>
      </c>
      <c r="G10" s="7"/>
      <c r="H10" s="7"/>
      <c r="J10" s="6" t="s">
        <v>64</v>
      </c>
      <c r="K10" s="8" t="s">
        <v>51</v>
      </c>
      <c r="L10" s="11" t="s">
        <v>65</v>
      </c>
      <c r="M10" s="8" t="s">
        <v>53</v>
      </c>
      <c r="N10" s="8" t="s">
        <v>59</v>
      </c>
      <c r="O10" s="9" t="s">
        <v>66</v>
      </c>
      <c r="P10" s="8" t="s">
        <v>61</v>
      </c>
      <c r="Q10" s="8" t="s">
        <v>62</v>
      </c>
      <c r="S10" s="6" t="s">
        <v>67</v>
      </c>
      <c r="T10" s="8" t="s">
        <v>60</v>
      </c>
      <c r="U10" s="8" t="s">
        <v>61</v>
      </c>
      <c r="V10" s="8" t="s">
        <v>62</v>
      </c>
      <c r="W10" s="7"/>
      <c r="X10" s="7"/>
      <c r="Y10" s="7"/>
      <c r="Z10" s="7"/>
    </row>
    <row r="11" customFormat="false" ht="33.75" hidden="false" customHeight="true" outlineLevel="0" collapsed="false">
      <c r="J11" s="6" t="s">
        <v>20</v>
      </c>
      <c r="K11" s="11" t="s">
        <v>68</v>
      </c>
      <c r="L11" s="7"/>
      <c r="M11" s="7"/>
      <c r="N11" s="7"/>
      <c r="O11" s="7"/>
      <c r="P11" s="7"/>
      <c r="Q11" s="7"/>
    </row>
    <row r="15" customFormat="false" ht="30" hidden="false" customHeight="true" outlineLevel="0" collapsed="false">
      <c r="B15" s="3" t="s">
        <v>69</v>
      </c>
      <c r="C15" s="3"/>
      <c r="D15" s="3"/>
      <c r="E15" s="3"/>
      <c r="F15" s="3"/>
      <c r="G15" s="3"/>
      <c r="H15" s="3"/>
      <c r="K15" s="3" t="s">
        <v>70</v>
      </c>
      <c r="L15" s="3"/>
      <c r="M15" s="3"/>
      <c r="N15" s="3"/>
      <c r="O15" s="3"/>
      <c r="P15" s="3"/>
      <c r="Q15" s="3"/>
      <c r="T15" s="3" t="s">
        <v>71</v>
      </c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4" t="s">
        <v>5</v>
      </c>
      <c r="B16" s="5" t="s">
        <v>6</v>
      </c>
      <c r="C16" s="5" t="s">
        <v>7</v>
      </c>
      <c r="D16" s="5" t="s">
        <v>8</v>
      </c>
      <c r="E16" s="5" t="s">
        <v>9</v>
      </c>
      <c r="F16" s="5" t="s">
        <v>10</v>
      </c>
      <c r="G16" s="5" t="s">
        <v>11</v>
      </c>
      <c r="H16" s="5" t="s">
        <v>12</v>
      </c>
      <c r="J16" s="4" t="s">
        <v>5</v>
      </c>
      <c r="K16" s="5" t="s">
        <v>6</v>
      </c>
      <c r="L16" s="5" t="s">
        <v>7</v>
      </c>
      <c r="M16" s="5" t="s">
        <v>8</v>
      </c>
      <c r="N16" s="5" t="s">
        <v>9</v>
      </c>
      <c r="O16" s="5" t="s">
        <v>10</v>
      </c>
      <c r="P16" s="5" t="s">
        <v>11</v>
      </c>
      <c r="Q16" s="5" t="s">
        <v>12</v>
      </c>
      <c r="S16" s="4" t="s">
        <v>5</v>
      </c>
      <c r="T16" s="5" t="s">
        <v>6</v>
      </c>
      <c r="U16" s="5" t="s">
        <v>7</v>
      </c>
      <c r="V16" s="5" t="s">
        <v>8</v>
      </c>
      <c r="W16" s="5" t="s">
        <v>9</v>
      </c>
      <c r="X16" s="5" t="s">
        <v>10</v>
      </c>
      <c r="Y16" s="5" t="s">
        <v>11</v>
      </c>
      <c r="Z16" s="5" t="s">
        <v>12</v>
      </c>
    </row>
    <row r="17" customFormat="false" ht="33.75" hidden="false" customHeight="true" outlineLevel="0" collapsed="false">
      <c r="A17" s="6" t="s">
        <v>67</v>
      </c>
      <c r="B17" s="7"/>
      <c r="C17" s="7"/>
      <c r="D17" s="7"/>
      <c r="E17" s="8" t="s">
        <v>14</v>
      </c>
      <c r="F17" s="9" t="s">
        <v>72</v>
      </c>
      <c r="G17" s="8" t="s">
        <v>16</v>
      </c>
      <c r="H17" s="8" t="s">
        <v>17</v>
      </c>
      <c r="J17" s="6" t="s">
        <v>73</v>
      </c>
      <c r="K17" s="7"/>
      <c r="L17" s="7"/>
      <c r="M17" s="7"/>
      <c r="N17" s="7"/>
      <c r="O17" s="7"/>
      <c r="P17" s="7"/>
      <c r="Q17" s="15" t="s">
        <v>74</v>
      </c>
      <c r="S17" s="6" t="s">
        <v>13</v>
      </c>
      <c r="T17" s="7"/>
      <c r="U17" s="8" t="s">
        <v>14</v>
      </c>
      <c r="V17" s="8" t="s">
        <v>15</v>
      </c>
      <c r="W17" s="8" t="s">
        <v>16</v>
      </c>
      <c r="X17" s="8" t="s">
        <v>17</v>
      </c>
      <c r="Y17" s="9" t="s">
        <v>75</v>
      </c>
      <c r="Z17" s="8" t="s">
        <v>22</v>
      </c>
    </row>
    <row r="18" customFormat="false" ht="33.75" hidden="false" customHeight="true" outlineLevel="0" collapsed="false">
      <c r="A18" s="6" t="s">
        <v>76</v>
      </c>
      <c r="B18" s="8" t="s">
        <v>18</v>
      </c>
      <c r="C18" s="8" t="s">
        <v>22</v>
      </c>
      <c r="D18" s="8" t="s">
        <v>23</v>
      </c>
      <c r="E18" s="8" t="s">
        <v>24</v>
      </c>
      <c r="F18" s="15" t="s">
        <v>77</v>
      </c>
      <c r="G18" s="8" t="s">
        <v>26</v>
      </c>
      <c r="H18" s="8" t="s">
        <v>27</v>
      </c>
      <c r="J18" s="10" t="s">
        <v>78</v>
      </c>
      <c r="K18" s="11" t="s">
        <v>15</v>
      </c>
      <c r="L18" s="11" t="s">
        <v>16</v>
      </c>
      <c r="M18" s="11" t="s">
        <v>17</v>
      </c>
      <c r="N18" s="11" t="s">
        <v>18</v>
      </c>
      <c r="O18" s="11" t="s">
        <v>22</v>
      </c>
      <c r="P18" s="11" t="s">
        <v>23</v>
      </c>
      <c r="Q18" s="11" t="s">
        <v>79</v>
      </c>
      <c r="S18" s="6" t="s">
        <v>13</v>
      </c>
      <c r="T18" s="8" t="s">
        <v>23</v>
      </c>
      <c r="U18" s="8" t="s">
        <v>24</v>
      </c>
      <c r="V18" s="8" t="s">
        <v>25</v>
      </c>
      <c r="W18" s="8" t="s">
        <v>26</v>
      </c>
      <c r="X18" s="11" t="s">
        <v>80</v>
      </c>
      <c r="Y18" s="9" t="s">
        <v>81</v>
      </c>
      <c r="Z18" s="8" t="s">
        <v>32</v>
      </c>
    </row>
    <row r="19" customFormat="false" ht="33.75" hidden="false" customHeight="true" outlineLevel="0" collapsed="false">
      <c r="A19" s="6" t="s">
        <v>82</v>
      </c>
      <c r="B19" s="8" t="s">
        <v>28</v>
      </c>
      <c r="C19" s="8" t="s">
        <v>32</v>
      </c>
      <c r="D19" s="8" t="s">
        <v>33</v>
      </c>
      <c r="E19" s="8" t="s">
        <v>34</v>
      </c>
      <c r="F19" s="9" t="s">
        <v>83</v>
      </c>
      <c r="G19" s="8" t="s">
        <v>36</v>
      </c>
      <c r="H19" s="8" t="s">
        <v>37</v>
      </c>
      <c r="J19" s="6" t="s">
        <v>84</v>
      </c>
      <c r="K19" s="11" t="s">
        <v>85</v>
      </c>
      <c r="L19" s="11" t="s">
        <v>86</v>
      </c>
      <c r="M19" s="8" t="s">
        <v>27</v>
      </c>
      <c r="N19" s="8" t="s">
        <v>28</v>
      </c>
      <c r="O19" s="8" t="s">
        <v>32</v>
      </c>
      <c r="P19" s="8" t="s">
        <v>33</v>
      </c>
      <c r="Q19" s="8" t="s">
        <v>34</v>
      </c>
      <c r="S19" s="6" t="s">
        <v>13</v>
      </c>
      <c r="T19" s="8" t="s">
        <v>33</v>
      </c>
      <c r="U19" s="8" t="s">
        <v>34</v>
      </c>
      <c r="V19" s="8" t="s">
        <v>35</v>
      </c>
      <c r="W19" s="8" t="s">
        <v>36</v>
      </c>
      <c r="X19" s="8" t="s">
        <v>37</v>
      </c>
      <c r="Y19" s="8" t="s">
        <v>38</v>
      </c>
      <c r="Z19" s="8" t="s">
        <v>46</v>
      </c>
    </row>
    <row r="20" customFormat="false" ht="33.75" hidden="false" customHeight="true" outlineLevel="0" collapsed="false">
      <c r="A20" s="6" t="s">
        <v>87</v>
      </c>
      <c r="B20" s="8" t="s">
        <v>38</v>
      </c>
      <c r="C20" s="8" t="s">
        <v>46</v>
      </c>
      <c r="D20" s="8" t="s">
        <v>48</v>
      </c>
      <c r="E20" s="9" t="s">
        <v>88</v>
      </c>
      <c r="F20" s="9" t="s">
        <v>89</v>
      </c>
      <c r="G20" s="8" t="s">
        <v>51</v>
      </c>
      <c r="H20" s="8" t="s">
        <v>52</v>
      </c>
      <c r="J20" s="6" t="s">
        <v>84</v>
      </c>
      <c r="K20" s="8" t="s">
        <v>35</v>
      </c>
      <c r="L20" s="8" t="s">
        <v>36</v>
      </c>
      <c r="M20" s="8" t="s">
        <v>37</v>
      </c>
      <c r="N20" s="8" t="s">
        <v>38</v>
      </c>
      <c r="O20" s="8" t="s">
        <v>46</v>
      </c>
      <c r="P20" s="8" t="s">
        <v>48</v>
      </c>
      <c r="Q20" s="8" t="s">
        <v>56</v>
      </c>
      <c r="S20" s="6" t="s">
        <v>13</v>
      </c>
      <c r="T20" s="8" t="s">
        <v>48</v>
      </c>
      <c r="U20" s="8" t="s">
        <v>56</v>
      </c>
      <c r="V20" s="8" t="s">
        <v>50</v>
      </c>
      <c r="W20" s="8" t="s">
        <v>51</v>
      </c>
      <c r="X20" s="11" t="s">
        <v>90</v>
      </c>
      <c r="Y20" s="8" t="s">
        <v>53</v>
      </c>
      <c r="Z20" s="8" t="s">
        <v>59</v>
      </c>
    </row>
    <row r="21" customFormat="false" ht="33.75" hidden="false" customHeight="true" outlineLevel="0" collapsed="false">
      <c r="A21" s="6" t="s">
        <v>73</v>
      </c>
      <c r="B21" s="8" t="s">
        <v>53</v>
      </c>
      <c r="C21" s="8" t="s">
        <v>59</v>
      </c>
      <c r="D21" s="8" t="s">
        <v>60</v>
      </c>
      <c r="E21" s="8" t="s">
        <v>61</v>
      </c>
      <c r="F21" s="15" t="s">
        <v>91</v>
      </c>
      <c r="G21" s="15" t="s">
        <v>92</v>
      </c>
      <c r="H21" s="7"/>
      <c r="J21" s="6" t="s">
        <v>84</v>
      </c>
      <c r="K21" s="8" t="s">
        <v>50</v>
      </c>
      <c r="L21" s="8" t="s">
        <v>51</v>
      </c>
      <c r="M21" s="8" t="s">
        <v>52</v>
      </c>
      <c r="N21" s="8" t="s">
        <v>53</v>
      </c>
      <c r="O21" s="8" t="s">
        <v>59</v>
      </c>
      <c r="P21" s="9" t="s">
        <v>93</v>
      </c>
      <c r="Q21" s="8" t="s">
        <v>61</v>
      </c>
      <c r="S21" s="6" t="s">
        <v>13</v>
      </c>
      <c r="T21" s="8" t="s">
        <v>60</v>
      </c>
      <c r="U21" s="8" t="s">
        <v>61</v>
      </c>
      <c r="V21" s="8" t="s">
        <v>62</v>
      </c>
      <c r="W21" s="8" t="s">
        <v>94</v>
      </c>
      <c r="X21" s="7"/>
      <c r="Y21" s="7"/>
      <c r="Z21" s="7"/>
    </row>
    <row r="22" customFormat="false" ht="33.75" hidden="false" customHeight="true" outlineLevel="0" collapsed="false">
      <c r="J22" s="6" t="s">
        <v>13</v>
      </c>
      <c r="K22" s="8" t="s">
        <v>62</v>
      </c>
      <c r="L22" s="7"/>
      <c r="M22" s="7"/>
      <c r="N22" s="7"/>
      <c r="O22" s="7"/>
      <c r="P22" s="7"/>
      <c r="Q22" s="7"/>
    </row>
    <row r="26" customFormat="false" ht="15" hidden="false" customHeight="false" outlineLevel="0" collapsed="false">
      <c r="A26" s="4" t="s">
        <v>95</v>
      </c>
      <c r="B26" s="16" t="s">
        <v>96</v>
      </c>
      <c r="C26" s="17" t="s">
        <v>97</v>
      </c>
      <c r="D26" s="17" t="s">
        <v>98</v>
      </c>
      <c r="E26" s="17" t="s">
        <v>99</v>
      </c>
      <c r="F26" s="17" t="s">
        <v>100</v>
      </c>
      <c r="G26" s="17" t="s">
        <v>101</v>
      </c>
      <c r="H26" s="17" t="s">
        <v>102</v>
      </c>
    </row>
    <row r="27" customFormat="false" ht="15" hidden="false" customHeight="false" outlineLevel="0" collapsed="false">
      <c r="A27" s="18"/>
      <c r="B27" s="19" t="s">
        <v>103</v>
      </c>
      <c r="C27" s="20" t="n">
        <f aca="false">COUNTIFS('Event Details'!$E:$E,$B27,'Event Details'!$A:$A,"&gt;="&amp;DATE(2026,7,1),'Event Details'!$A:$A,"&lt;="&amp;DATE(2026,7,31))</f>
        <v>0</v>
      </c>
      <c r="D27" s="20" t="n">
        <f aca="false">COUNTIFS('Event Details'!$E:$E,$B27,'Event Details'!$A:$A,"&gt;="&amp;DATE(2026,8,1),'Event Details'!$A:$A,"&lt;="&amp;DATE(2026,8,31))</f>
        <v>2</v>
      </c>
      <c r="E27" s="20" t="n">
        <f aca="false">COUNTIFS('Event Details'!$E:$E,$B27,'Event Details'!$A:$A,"&gt;="&amp;DATE(2026,9,1),'Event Details'!$A:$A,"&lt;="&amp;DATE(2026,9,30))</f>
        <v>1</v>
      </c>
      <c r="F27" s="20" t="n">
        <f aca="false">COUNTIFS('Event Details'!$E:$E,$B27,'Event Details'!$A:$A,"&gt;="&amp;DATE(2026,10,1),'Event Details'!$A:$A,"&lt;="&amp;DATE(2026,10,31))</f>
        <v>0</v>
      </c>
      <c r="G27" s="20" t="n">
        <f aca="false">COUNTIFS('Event Details'!$E:$E,$B27,'Event Details'!$A:$A,"&gt;="&amp;DATE(2026,11,1),'Event Details'!$A:$A,"&lt;="&amp;DATE(2026,11,30))</f>
        <v>3</v>
      </c>
      <c r="H27" s="20" t="n">
        <f aca="false">COUNTIFS('Event Details'!$E:$E,$B27,'Event Details'!$A:$A,"&gt;="&amp;DATE(2026,12,1),'Event Details'!$A:$A,"&lt;="&amp;DATE(2026,12,31))</f>
        <v>2</v>
      </c>
    </row>
    <row r="28" customFormat="false" ht="15" hidden="false" customHeight="false" outlineLevel="0" collapsed="false">
      <c r="A28" s="21"/>
      <c r="B28" s="19" t="s">
        <v>104</v>
      </c>
      <c r="C28" s="20" t="n">
        <f aca="false">COUNTIFS('Event Details'!$E:$E,$B28,'Event Details'!$A:$A,"&gt;="&amp;DATE(2026,7,1),'Event Details'!$A:$A,"&lt;="&amp;DATE(2026,7,31))</f>
        <v>0</v>
      </c>
      <c r="D28" s="20" t="n">
        <f aca="false">COUNTIFS('Event Details'!$E:$E,$B28,'Event Details'!$A:$A,"&gt;="&amp;DATE(2026,8,1),'Event Details'!$A:$A,"&lt;="&amp;DATE(2026,8,31))</f>
        <v>1</v>
      </c>
      <c r="E28" s="20" t="n">
        <f aca="false">COUNTIFS('Event Details'!$E:$E,$B28,'Event Details'!$A:$A,"&gt;="&amp;DATE(2026,9,1),'Event Details'!$A:$A,"&lt;="&amp;DATE(2026,9,30))</f>
        <v>1</v>
      </c>
      <c r="F28" s="20" t="n">
        <f aca="false">COUNTIFS('Event Details'!$E:$E,$B28,'Event Details'!$A:$A,"&gt;="&amp;DATE(2026,10,1),'Event Details'!$A:$A,"&lt;="&amp;DATE(2026,10,31))</f>
        <v>0</v>
      </c>
      <c r="G28" s="20" t="n">
        <f aca="false">COUNTIFS('Event Details'!$E:$E,$B28,'Event Details'!$A:$A,"&gt;="&amp;DATE(2026,11,1),'Event Details'!$A:$A,"&lt;="&amp;DATE(2026,11,30))</f>
        <v>0</v>
      </c>
      <c r="H28" s="20" t="n">
        <f aca="false">COUNTIFS('Event Details'!$E:$E,$B28,'Event Details'!$A:$A,"&gt;="&amp;DATE(2026,12,1),'Event Details'!$A:$A,"&lt;="&amp;DATE(2026,12,31))</f>
        <v>0</v>
      </c>
    </row>
    <row r="29" customFormat="false" ht="15" hidden="false" customHeight="false" outlineLevel="0" collapsed="false">
      <c r="A29" s="22"/>
      <c r="B29" s="19" t="s">
        <v>105</v>
      </c>
      <c r="C29" s="20" t="n">
        <f aca="false">COUNTIFS('Event Details'!$E:$E,$B29,'Event Details'!$A:$A,"&gt;="&amp;DATE(2026,7,1),'Event Details'!$A:$A,"&lt;="&amp;DATE(2026,7,31))</f>
        <v>0</v>
      </c>
      <c r="D29" s="20" t="n">
        <f aca="false">COUNTIFS('Event Details'!$E:$E,$B29,'Event Details'!$A:$A,"&gt;="&amp;DATE(2026,8,1),'Event Details'!$A:$A,"&lt;="&amp;DATE(2026,8,31))</f>
        <v>1</v>
      </c>
      <c r="E29" s="20" t="n">
        <f aca="false">COUNTIFS('Event Details'!$E:$E,$B29,'Event Details'!$A:$A,"&gt;="&amp;DATE(2026,9,1),'Event Details'!$A:$A,"&lt;="&amp;DATE(2026,9,30))</f>
        <v>1</v>
      </c>
      <c r="F29" s="20" t="n">
        <f aca="false">COUNTIFS('Event Details'!$E:$E,$B29,'Event Details'!$A:$A,"&gt;="&amp;DATE(2026,10,1),'Event Details'!$A:$A,"&lt;="&amp;DATE(2026,10,31))</f>
        <v>0</v>
      </c>
      <c r="G29" s="20" t="n">
        <f aca="false">COUNTIFS('Event Details'!$E:$E,$B29,'Event Details'!$A:$A,"&gt;="&amp;DATE(2026,11,1),'Event Details'!$A:$A,"&lt;="&amp;DATE(2026,11,30))</f>
        <v>0</v>
      </c>
      <c r="H29" s="20" t="n">
        <f aca="false">COUNTIFS('Event Details'!$E:$E,$B29,'Event Details'!$A:$A,"&gt;="&amp;DATE(2026,12,1),'Event Details'!$A:$A,"&lt;="&amp;DATE(2026,12,31))</f>
        <v>0</v>
      </c>
    </row>
    <row r="30" customFormat="false" ht="15" hidden="false" customHeight="false" outlineLevel="0" collapsed="false">
      <c r="A30" s="23"/>
      <c r="B30" s="19" t="s">
        <v>106</v>
      </c>
      <c r="C30" s="20" t="n">
        <f aca="false">COUNTIFS('Event Details'!$E:$E,$B30,'Event Details'!$A:$A,"&gt;="&amp;DATE(2026,7,1),'Event Details'!$A:$A,"&lt;="&amp;DATE(2026,7,31))</f>
        <v>1</v>
      </c>
      <c r="D30" s="20" t="n">
        <f aca="false">COUNTIFS('Event Details'!$E:$E,$B30,'Event Details'!$A:$A,"&gt;="&amp;DATE(2026,8,1),'Event Details'!$A:$A,"&lt;="&amp;DATE(2026,8,31))</f>
        <v>3</v>
      </c>
      <c r="E30" s="20" t="n">
        <f aca="false">COUNTIFS('Event Details'!$E:$E,$B30,'Event Details'!$A:$A,"&gt;="&amp;DATE(2026,9,1),'Event Details'!$A:$A,"&lt;="&amp;DATE(2026,9,30))</f>
        <v>2</v>
      </c>
      <c r="F30" s="20" t="n">
        <f aca="false">COUNTIFS('Event Details'!$E:$E,$B30,'Event Details'!$A:$A,"&gt;="&amp;DATE(2026,10,1),'Event Details'!$A:$A,"&lt;="&amp;DATE(2026,10,31))</f>
        <v>4</v>
      </c>
      <c r="G30" s="20" t="n">
        <f aca="false">COUNTIFS('Event Details'!$E:$E,$B30,'Event Details'!$A:$A,"&gt;="&amp;DATE(2026,11,1),'Event Details'!$A:$A,"&lt;="&amp;DATE(2026,11,30))</f>
        <v>1</v>
      </c>
      <c r="H30" s="20" t="n">
        <f aca="false">COUNTIFS('Event Details'!$E:$E,$B30,'Event Details'!$A:$A,"&gt;="&amp;DATE(2026,12,1),'Event Details'!$A:$A,"&lt;="&amp;DATE(2026,12,31))</f>
        <v>2</v>
      </c>
    </row>
    <row r="31" customFormat="false" ht="15" hidden="false" customHeight="false" outlineLevel="0" collapsed="false">
      <c r="A31" s="24"/>
      <c r="B31" s="19" t="s">
        <v>107</v>
      </c>
      <c r="C31" s="20" t="n">
        <f aca="false">COUNTIFS('Event Details'!$E:$E,$B31,'Event Details'!$A:$A,"&gt;="&amp;DATE(2026,7,1),'Event Details'!$A:$A,"&lt;="&amp;DATE(2026,7,31))</f>
        <v>1</v>
      </c>
      <c r="D31" s="20" t="n">
        <f aca="false">COUNTIFS('Event Details'!$E:$E,$B31,'Event Details'!$A:$A,"&gt;="&amp;DATE(2026,8,1),'Event Details'!$A:$A,"&lt;="&amp;DATE(2026,8,31))</f>
        <v>0</v>
      </c>
      <c r="E31" s="20" t="n">
        <f aca="false">COUNTIFS('Event Details'!$E:$E,$B31,'Event Details'!$A:$A,"&gt;="&amp;DATE(2026,9,1),'Event Details'!$A:$A,"&lt;="&amp;DATE(2026,9,30))</f>
        <v>0</v>
      </c>
      <c r="F31" s="20" t="n">
        <f aca="false">COUNTIFS('Event Details'!$E:$E,$B31,'Event Details'!$A:$A,"&gt;="&amp;DATE(2026,10,1),'Event Details'!$A:$A,"&lt;="&amp;DATE(2026,10,31))</f>
        <v>0</v>
      </c>
      <c r="G31" s="20" t="n">
        <f aca="false">COUNTIFS('Event Details'!$E:$E,$B31,'Event Details'!$A:$A,"&gt;="&amp;DATE(2026,11,1),'Event Details'!$A:$A,"&lt;="&amp;DATE(2026,11,30))</f>
        <v>0</v>
      </c>
      <c r="H31" s="20" t="n">
        <f aca="false">COUNTIFS('Event Details'!$E:$E,$B31,'Event Details'!$A:$A,"&gt;="&amp;DATE(2026,12,1),'Event Details'!$A:$A,"&lt;="&amp;DATE(2026,12,31))</f>
        <v>0</v>
      </c>
    </row>
    <row r="32" customFormat="false" ht="15" hidden="false" customHeight="false" outlineLevel="0" collapsed="false">
      <c r="A32" s="25"/>
      <c r="B32" s="19" t="s">
        <v>108</v>
      </c>
      <c r="C32" s="20" t="n">
        <f aca="false">COUNTIFS('Event Details'!$E:$E,$B32,'Event Details'!$A:$A,"&gt;="&amp;DATE(2026,7,1),'Event Details'!$A:$A,"&lt;="&amp;DATE(2026,7,31))</f>
        <v>0</v>
      </c>
      <c r="D32" s="20" t="n">
        <f aca="false">COUNTIFS('Event Details'!$E:$E,$B32,'Event Details'!$A:$A,"&gt;="&amp;DATE(2026,8,1),'Event Details'!$A:$A,"&lt;="&amp;DATE(2026,8,31))</f>
        <v>0</v>
      </c>
      <c r="E32" s="20" t="n">
        <f aca="false">COUNTIFS('Event Details'!$E:$E,$B32,'Event Details'!$A:$A,"&gt;="&amp;DATE(2026,9,1),'Event Details'!$A:$A,"&lt;="&amp;DATE(2026,9,30))</f>
        <v>0</v>
      </c>
      <c r="F32" s="20" t="n">
        <f aca="false">COUNTIFS('Event Details'!$E:$E,$B32,'Event Details'!$A:$A,"&gt;="&amp;DATE(2026,10,1),'Event Details'!$A:$A,"&lt;="&amp;DATE(2026,10,31))</f>
        <v>3</v>
      </c>
      <c r="G32" s="20" t="n">
        <f aca="false">COUNTIFS('Event Details'!$E:$E,$B32,'Event Details'!$A:$A,"&gt;="&amp;DATE(2026,11,1),'Event Details'!$A:$A,"&lt;="&amp;DATE(2026,11,30))</f>
        <v>1</v>
      </c>
      <c r="H32" s="20" t="n">
        <f aca="false">COUNTIFS('Event Details'!$E:$E,$B32,'Event Details'!$A:$A,"&gt;="&amp;DATE(2026,12,1),'Event Details'!$A:$A,"&lt;="&amp;DATE(2026,12,31))</f>
        <v>0</v>
      </c>
    </row>
    <row r="33" customFormat="false" ht="15" hidden="false" customHeight="false" outlineLevel="0" collapsed="false">
      <c r="B33" s="26" t="s">
        <v>109</v>
      </c>
      <c r="C33" s="27" t="n">
        <f aca="false">SUM(C27:C32)</f>
        <v>2</v>
      </c>
      <c r="D33" s="27" t="n">
        <f aca="false">SUM(D27:D32)</f>
        <v>7</v>
      </c>
      <c r="E33" s="27" t="n">
        <f aca="false">SUM(E27:E32)</f>
        <v>5</v>
      </c>
      <c r="F33" s="27" t="n">
        <f aca="false">SUM(F27:F32)</f>
        <v>7</v>
      </c>
      <c r="G33" s="27" t="n">
        <f aca="false">SUM(G27:G32)</f>
        <v>5</v>
      </c>
      <c r="H33" s="27" t="n">
        <f aca="false">SUM(H27:H32)</f>
        <v>4</v>
      </c>
    </row>
    <row r="34" customFormat="false" ht="15" hidden="false" customHeight="false" outlineLevel="0" collapsed="false">
      <c r="B34" s="28" t="s">
        <v>110</v>
      </c>
    </row>
  </sheetData>
  <mergeCells count="8">
    <mergeCell ref="A1:Z1"/>
    <mergeCell ref="A2:Z2"/>
    <mergeCell ref="B4:H4"/>
    <mergeCell ref="K4:Q4"/>
    <mergeCell ref="T4:Z4"/>
    <mergeCell ref="B15:H15"/>
    <mergeCell ref="K15:Q15"/>
    <mergeCell ref="T15:Z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2E9"/>
    <pageSetUpPr fitToPage="true"/>
  </sheetPr>
  <dimension ref="A1: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48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3"/>
  </cols>
  <sheetData>
    <row r="1" customFormat="false" ht="27.75" hidden="false" customHeight="true" outlineLevel="0" collapsed="false">
      <c r="A1" s="29" t="s">
        <v>111</v>
      </c>
      <c r="B1" s="29" t="s">
        <v>112</v>
      </c>
      <c r="C1" s="29" t="s">
        <v>113</v>
      </c>
      <c r="D1" s="29" t="s">
        <v>114</v>
      </c>
      <c r="E1" s="29" t="s">
        <v>96</v>
      </c>
      <c r="F1" s="29" t="s">
        <v>115</v>
      </c>
      <c r="G1" s="29" t="s">
        <v>116</v>
      </c>
      <c r="H1" s="29" t="s">
        <v>117</v>
      </c>
      <c r="I1" s="29" t="s">
        <v>118</v>
      </c>
      <c r="J1" s="29" t="s">
        <v>119</v>
      </c>
      <c r="K1" s="29" t="s">
        <v>120</v>
      </c>
      <c r="L1" s="29" t="s">
        <v>121</v>
      </c>
      <c r="M1" s="29" t="s">
        <v>122</v>
      </c>
    </row>
    <row r="2" customFormat="false" ht="36" hidden="false" customHeight="true" outlineLevel="0" collapsed="false">
      <c r="A2" s="30" t="n">
        <v>46225</v>
      </c>
      <c r="B2" s="31" t="str">
        <f aca="false">TEXT(A2,"ddd")</f>
        <v>Wed</v>
      </c>
      <c r="C2" s="31" t="s">
        <v>47</v>
      </c>
      <c r="D2" s="32" t="s">
        <v>123</v>
      </c>
      <c r="E2" s="33" t="s">
        <v>107</v>
      </c>
      <c r="F2" s="34" t="s">
        <v>124</v>
      </c>
      <c r="G2" s="34" t="s">
        <v>125</v>
      </c>
      <c r="H2" s="34" t="s">
        <v>126</v>
      </c>
      <c r="I2" s="34"/>
      <c r="J2" s="34" t="s">
        <v>127</v>
      </c>
      <c r="K2" s="30" t="n">
        <f aca="false">A2-10</f>
        <v>46215</v>
      </c>
      <c r="L2" s="30" t="n">
        <f aca="false">A2-1</f>
        <v>46224</v>
      </c>
      <c r="M2" s="31" t="s">
        <v>128</v>
      </c>
    </row>
    <row r="3" customFormat="false" ht="36" hidden="false" customHeight="true" outlineLevel="0" collapsed="false">
      <c r="A3" s="30" t="n">
        <v>46234</v>
      </c>
      <c r="B3" s="31" t="str">
        <f aca="false">TEXT(A3,"ddd")</f>
        <v>Fri</v>
      </c>
      <c r="C3" s="31" t="s">
        <v>19</v>
      </c>
      <c r="D3" s="32" t="s">
        <v>129</v>
      </c>
      <c r="E3" s="35" t="s">
        <v>106</v>
      </c>
      <c r="F3" s="34" t="s">
        <v>130</v>
      </c>
      <c r="G3" s="34" t="s">
        <v>131</v>
      </c>
      <c r="H3" s="34" t="s">
        <v>132</v>
      </c>
      <c r="I3" s="34"/>
      <c r="J3" s="34" t="s">
        <v>133</v>
      </c>
      <c r="K3" s="30" t="n">
        <f aca="false">A3-10</f>
        <v>46224</v>
      </c>
      <c r="L3" s="30" t="n">
        <f aca="false">A3-1</f>
        <v>46233</v>
      </c>
      <c r="M3" s="31" t="s">
        <v>128</v>
      </c>
    </row>
    <row r="4" customFormat="false" ht="36" hidden="false" customHeight="true" outlineLevel="0" collapsed="false">
      <c r="A4" s="30" t="n">
        <v>46240</v>
      </c>
      <c r="B4" s="31" t="str">
        <f aca="false">TEXT(A4,"ddd")</f>
        <v>Thu</v>
      </c>
      <c r="C4" s="31" t="s">
        <v>29</v>
      </c>
      <c r="D4" s="32" t="s">
        <v>134</v>
      </c>
      <c r="E4" s="35" t="s">
        <v>106</v>
      </c>
      <c r="F4" s="34" t="s">
        <v>135</v>
      </c>
      <c r="G4" s="34" t="s">
        <v>136</v>
      </c>
      <c r="H4" s="34" t="s">
        <v>137</v>
      </c>
      <c r="I4" s="34"/>
      <c r="J4" s="34" t="s">
        <v>138</v>
      </c>
      <c r="K4" s="30" t="n">
        <f aca="false">A4-10</f>
        <v>46230</v>
      </c>
      <c r="L4" s="30" t="n">
        <f aca="false">A4-1</f>
        <v>46239</v>
      </c>
      <c r="M4" s="31" t="s">
        <v>128</v>
      </c>
    </row>
    <row r="5" customFormat="false" ht="36" hidden="false" customHeight="true" outlineLevel="0" collapsed="false">
      <c r="A5" s="30" t="n">
        <v>46247</v>
      </c>
      <c r="B5" s="31" t="str">
        <f aca="false">TEXT(A5,"ddd")</f>
        <v>Thu</v>
      </c>
      <c r="C5" s="31" t="s">
        <v>39</v>
      </c>
      <c r="D5" s="32" t="s">
        <v>139</v>
      </c>
      <c r="E5" s="35" t="s">
        <v>106</v>
      </c>
      <c r="F5" s="34" t="s">
        <v>140</v>
      </c>
      <c r="G5" s="34" t="s">
        <v>141</v>
      </c>
      <c r="H5" s="34" t="s">
        <v>132</v>
      </c>
      <c r="I5" s="34"/>
      <c r="J5" s="34" t="s">
        <v>142</v>
      </c>
      <c r="K5" s="30" t="n">
        <f aca="false">A5-10</f>
        <v>46237</v>
      </c>
      <c r="L5" s="30" t="n">
        <f aca="false">A5-1</f>
        <v>46246</v>
      </c>
      <c r="M5" s="31" t="s">
        <v>128</v>
      </c>
    </row>
    <row r="6" customFormat="false" ht="36" hidden="false" customHeight="true" outlineLevel="0" collapsed="false">
      <c r="A6" s="30" t="n">
        <v>46248</v>
      </c>
      <c r="B6" s="31" t="str">
        <f aca="false">TEXT(A6,"ddd")</f>
        <v>Fri</v>
      </c>
      <c r="C6" s="31" t="s">
        <v>39</v>
      </c>
      <c r="D6" s="32" t="s">
        <v>143</v>
      </c>
      <c r="E6" s="36" t="s">
        <v>104</v>
      </c>
      <c r="F6" s="34" t="s">
        <v>144</v>
      </c>
      <c r="G6" s="34" t="s">
        <v>145</v>
      </c>
      <c r="H6" s="34" t="s">
        <v>146</v>
      </c>
      <c r="I6" s="34"/>
      <c r="J6" s="34" t="s">
        <v>147</v>
      </c>
      <c r="K6" s="30" t="n">
        <f aca="false">A6-10</f>
        <v>46238</v>
      </c>
      <c r="L6" s="30" t="n">
        <f aca="false">A6-1</f>
        <v>46247</v>
      </c>
      <c r="M6" s="31" t="s">
        <v>128</v>
      </c>
    </row>
    <row r="7" customFormat="false" ht="36" hidden="false" customHeight="true" outlineLevel="0" collapsed="false">
      <c r="A7" s="30" t="n">
        <v>46255</v>
      </c>
      <c r="B7" s="31" t="str">
        <f aca="false">TEXT(A7,"ddd")</f>
        <v>Fri</v>
      </c>
      <c r="C7" s="31" t="s">
        <v>54</v>
      </c>
      <c r="D7" s="32" t="s">
        <v>148</v>
      </c>
      <c r="E7" s="37" t="s">
        <v>105</v>
      </c>
      <c r="F7" s="34" t="s">
        <v>149</v>
      </c>
      <c r="G7" s="34" t="s">
        <v>150</v>
      </c>
      <c r="H7" s="34" t="s">
        <v>151</v>
      </c>
      <c r="I7" s="34" t="s">
        <v>152</v>
      </c>
      <c r="J7" s="34" t="s">
        <v>153</v>
      </c>
      <c r="K7" s="30" t="n">
        <f aca="false">A7-10</f>
        <v>46245</v>
      </c>
      <c r="L7" s="30" t="n">
        <f aca="false">A7-1</f>
        <v>46254</v>
      </c>
      <c r="M7" s="31" t="s">
        <v>128</v>
      </c>
    </row>
    <row r="8" customFormat="false" ht="36" hidden="false" customHeight="true" outlineLevel="0" collapsed="false">
      <c r="A8" s="30" t="n">
        <v>46259</v>
      </c>
      <c r="B8" s="31" t="str">
        <f aca="false">TEXT(A8,"ddd")</f>
        <v>Tue</v>
      </c>
      <c r="C8" s="31" t="s">
        <v>64</v>
      </c>
      <c r="D8" s="32" t="s">
        <v>154</v>
      </c>
      <c r="E8" s="38" t="s">
        <v>103</v>
      </c>
      <c r="F8" s="34"/>
      <c r="G8" s="34"/>
      <c r="H8" s="34"/>
      <c r="I8" s="34"/>
      <c r="J8" s="34" t="s">
        <v>155</v>
      </c>
      <c r="K8" s="30"/>
      <c r="L8" s="30"/>
      <c r="M8" s="31"/>
    </row>
    <row r="9" customFormat="false" ht="36" hidden="false" customHeight="true" outlineLevel="0" collapsed="false">
      <c r="A9" s="30" t="n">
        <v>46262</v>
      </c>
      <c r="B9" s="31" t="str">
        <f aca="false">TEXT(A9,"ddd")</f>
        <v>Fri</v>
      </c>
      <c r="C9" s="31" t="s">
        <v>64</v>
      </c>
      <c r="D9" s="32" t="s">
        <v>156</v>
      </c>
      <c r="E9" s="35" t="s">
        <v>106</v>
      </c>
      <c r="F9" s="34" t="s">
        <v>157</v>
      </c>
      <c r="G9" s="34" t="s">
        <v>158</v>
      </c>
      <c r="H9" s="34" t="s">
        <v>132</v>
      </c>
      <c r="I9" s="34"/>
      <c r="J9" s="34" t="s">
        <v>159</v>
      </c>
      <c r="K9" s="30" t="n">
        <f aca="false">A9-10</f>
        <v>46252</v>
      </c>
      <c r="L9" s="30" t="n">
        <f aca="false">A9-1</f>
        <v>46261</v>
      </c>
      <c r="M9" s="31" t="s">
        <v>128</v>
      </c>
    </row>
    <row r="10" customFormat="false" ht="36" hidden="false" customHeight="true" outlineLevel="0" collapsed="false">
      <c r="A10" s="30" t="n">
        <v>46265</v>
      </c>
      <c r="B10" s="31" t="str">
        <f aca="false">TEXT(A10,"ddd")</f>
        <v>Mon</v>
      </c>
      <c r="C10" s="31" t="s">
        <v>20</v>
      </c>
      <c r="D10" s="32" t="s">
        <v>160</v>
      </c>
      <c r="E10" s="38" t="s">
        <v>103</v>
      </c>
      <c r="F10" s="34"/>
      <c r="G10" s="34"/>
      <c r="H10" s="34"/>
      <c r="I10" s="34"/>
      <c r="J10" s="34" t="s">
        <v>155</v>
      </c>
      <c r="K10" s="30"/>
      <c r="L10" s="30"/>
      <c r="M10" s="31"/>
    </row>
    <row r="11" customFormat="false" ht="36" hidden="false" customHeight="true" outlineLevel="0" collapsed="false">
      <c r="A11" s="30" t="n">
        <v>46269</v>
      </c>
      <c r="B11" s="31" t="str">
        <f aca="false">TEXT(A11,"ddd")</f>
        <v>Fri</v>
      </c>
      <c r="C11" s="31" t="s">
        <v>20</v>
      </c>
      <c r="D11" s="32" t="s">
        <v>134</v>
      </c>
      <c r="E11" s="35" t="s">
        <v>106</v>
      </c>
      <c r="F11" s="34" t="s">
        <v>135</v>
      </c>
      <c r="G11" s="34" t="s">
        <v>136</v>
      </c>
      <c r="H11" s="34" t="s">
        <v>137</v>
      </c>
      <c r="I11" s="34"/>
      <c r="J11" s="34" t="s">
        <v>161</v>
      </c>
      <c r="K11" s="30" t="n">
        <f aca="false">A11-10</f>
        <v>46259</v>
      </c>
      <c r="L11" s="30" t="n">
        <f aca="false">A11-1</f>
        <v>46268</v>
      </c>
      <c r="M11" s="31" t="s">
        <v>162</v>
      </c>
    </row>
    <row r="12" customFormat="false" ht="36" hidden="false" customHeight="true" outlineLevel="0" collapsed="false">
      <c r="A12" s="30" t="n">
        <v>46281</v>
      </c>
      <c r="B12" s="31" t="str">
        <f aca="false">TEXT(A12,"ddd")</f>
        <v>Wed</v>
      </c>
      <c r="C12" s="31" t="s">
        <v>42</v>
      </c>
      <c r="D12" s="32" t="s">
        <v>163</v>
      </c>
      <c r="E12" s="38" t="s">
        <v>103</v>
      </c>
      <c r="F12" s="34"/>
      <c r="G12" s="34"/>
      <c r="H12" s="34"/>
      <c r="I12" s="34"/>
      <c r="J12" s="34" t="s">
        <v>164</v>
      </c>
      <c r="K12" s="30"/>
      <c r="L12" s="30"/>
      <c r="M12" s="31"/>
    </row>
    <row r="13" customFormat="false" ht="36" hidden="false" customHeight="true" outlineLevel="0" collapsed="false">
      <c r="A13" s="30" t="n">
        <v>46283</v>
      </c>
      <c r="B13" s="31" t="str">
        <f aca="false">TEXT(A13,"ddd")</f>
        <v>Fri</v>
      </c>
      <c r="C13" s="31" t="s">
        <v>42</v>
      </c>
      <c r="D13" s="32" t="s">
        <v>165</v>
      </c>
      <c r="E13" s="36" t="s">
        <v>104</v>
      </c>
      <c r="F13" s="34" t="s">
        <v>166</v>
      </c>
      <c r="G13" s="34" t="s">
        <v>141</v>
      </c>
      <c r="H13" s="34" t="s">
        <v>167</v>
      </c>
      <c r="I13" s="34"/>
      <c r="J13" s="34" t="s">
        <v>168</v>
      </c>
      <c r="K13" s="30" t="n">
        <f aca="false">A13-10</f>
        <v>46273</v>
      </c>
      <c r="L13" s="30" t="n">
        <f aca="false">A13-1</f>
        <v>46282</v>
      </c>
      <c r="M13" s="31" t="s">
        <v>162</v>
      </c>
    </row>
    <row r="14" customFormat="false" ht="36" hidden="false" customHeight="true" outlineLevel="0" collapsed="false">
      <c r="A14" s="30" t="n">
        <v>46284</v>
      </c>
      <c r="B14" s="31" t="str">
        <f aca="false">TEXT(A14,"ddd")</f>
        <v>Sat</v>
      </c>
      <c r="C14" s="31" t="s">
        <v>42</v>
      </c>
      <c r="D14" s="32" t="s">
        <v>169</v>
      </c>
      <c r="E14" s="37" t="s">
        <v>105</v>
      </c>
      <c r="F14" s="34" t="s">
        <v>149</v>
      </c>
      <c r="G14" s="34" t="s">
        <v>150</v>
      </c>
      <c r="H14" s="34" t="s">
        <v>151</v>
      </c>
      <c r="I14" s="34" t="s">
        <v>152</v>
      </c>
      <c r="J14" s="34" t="s">
        <v>170</v>
      </c>
      <c r="K14" s="30" t="n">
        <f aca="false">A14-10</f>
        <v>46274</v>
      </c>
      <c r="L14" s="30" t="n">
        <f aca="false">A14-1</f>
        <v>46283</v>
      </c>
      <c r="M14" s="31" t="s">
        <v>162</v>
      </c>
    </row>
    <row r="15" customFormat="false" ht="36" hidden="false" customHeight="true" outlineLevel="0" collapsed="false">
      <c r="A15" s="30" t="n">
        <v>46290</v>
      </c>
      <c r="B15" s="31" t="str">
        <f aca="false">TEXT(A15,"ddd")</f>
        <v>Fri</v>
      </c>
      <c r="C15" s="31" t="s">
        <v>57</v>
      </c>
      <c r="D15" s="32" t="s">
        <v>171</v>
      </c>
      <c r="E15" s="35" t="s">
        <v>106</v>
      </c>
      <c r="F15" s="34" t="s">
        <v>172</v>
      </c>
      <c r="G15" s="34" t="s">
        <v>173</v>
      </c>
      <c r="H15" s="34" t="s">
        <v>132</v>
      </c>
      <c r="I15" s="34"/>
      <c r="J15" s="34" t="s">
        <v>174</v>
      </c>
      <c r="K15" s="30" t="n">
        <f aca="false">A15-10</f>
        <v>46280</v>
      </c>
      <c r="L15" s="30" t="n">
        <f aca="false">A15-1</f>
        <v>46289</v>
      </c>
      <c r="M15" s="31" t="s">
        <v>162</v>
      </c>
    </row>
    <row r="16" customFormat="false" ht="36" hidden="false" customHeight="true" outlineLevel="0" collapsed="false">
      <c r="A16" s="30" t="n">
        <v>46297</v>
      </c>
      <c r="B16" s="31" t="str">
        <f aca="false">TEXT(A16,"ddd")</f>
        <v>Fri</v>
      </c>
      <c r="C16" s="31" t="s">
        <v>67</v>
      </c>
      <c r="D16" s="32" t="s">
        <v>175</v>
      </c>
      <c r="E16" s="35" t="s">
        <v>106</v>
      </c>
      <c r="F16" s="34" t="s">
        <v>176</v>
      </c>
      <c r="G16" s="34" t="s">
        <v>136</v>
      </c>
      <c r="H16" s="34" t="s">
        <v>177</v>
      </c>
      <c r="I16" s="34"/>
      <c r="J16" s="34" t="s">
        <v>178</v>
      </c>
      <c r="K16" s="30" t="n">
        <f aca="false">A16-10</f>
        <v>46287</v>
      </c>
      <c r="L16" s="30" t="n">
        <f aca="false">A16-1</f>
        <v>46296</v>
      </c>
      <c r="M16" s="31" t="s">
        <v>162</v>
      </c>
    </row>
    <row r="17" customFormat="false" ht="36" hidden="false" customHeight="true" outlineLevel="0" collapsed="false">
      <c r="A17" s="30" t="n">
        <v>46304</v>
      </c>
      <c r="B17" s="31" t="str">
        <f aca="false">TEXT(A17,"ddd")</f>
        <v>Fri</v>
      </c>
      <c r="C17" s="31" t="s">
        <v>76</v>
      </c>
      <c r="D17" s="32" t="s">
        <v>179</v>
      </c>
      <c r="E17" s="39" t="s">
        <v>108</v>
      </c>
      <c r="F17" s="34" t="s">
        <v>180</v>
      </c>
      <c r="G17" s="34" t="s">
        <v>181</v>
      </c>
      <c r="H17" s="34" t="s">
        <v>132</v>
      </c>
      <c r="I17" s="34" t="s">
        <v>182</v>
      </c>
      <c r="J17" s="34" t="s">
        <v>183</v>
      </c>
      <c r="K17" s="30" t="n">
        <f aca="false">A17-10</f>
        <v>46294</v>
      </c>
      <c r="L17" s="30" t="n">
        <f aca="false">A17-1</f>
        <v>46303</v>
      </c>
      <c r="M17" s="31" t="s">
        <v>162</v>
      </c>
    </row>
    <row r="18" customFormat="false" ht="36" hidden="false" customHeight="true" outlineLevel="0" collapsed="false">
      <c r="A18" s="30" t="n">
        <v>46311</v>
      </c>
      <c r="B18" s="31" t="str">
        <f aca="false">TEXT(A18,"ddd")</f>
        <v>Fri</v>
      </c>
      <c r="C18" s="31" t="s">
        <v>82</v>
      </c>
      <c r="D18" s="32" t="s">
        <v>184</v>
      </c>
      <c r="E18" s="35" t="s">
        <v>106</v>
      </c>
      <c r="F18" s="34" t="s">
        <v>157</v>
      </c>
      <c r="G18" s="34" t="s">
        <v>158</v>
      </c>
      <c r="H18" s="34" t="s">
        <v>132</v>
      </c>
      <c r="I18" s="34"/>
      <c r="J18" s="34" t="s">
        <v>185</v>
      </c>
      <c r="K18" s="30" t="n">
        <f aca="false">A18-10</f>
        <v>46301</v>
      </c>
      <c r="L18" s="30" t="n">
        <f aca="false">A18-1</f>
        <v>46310</v>
      </c>
      <c r="M18" s="31" t="s">
        <v>162</v>
      </c>
    </row>
    <row r="19" customFormat="false" ht="36" hidden="false" customHeight="true" outlineLevel="0" collapsed="false">
      <c r="A19" s="30" t="n">
        <v>46317</v>
      </c>
      <c r="B19" s="31" t="str">
        <f aca="false">TEXT(A19,"ddd")</f>
        <v>Thu</v>
      </c>
      <c r="C19" s="31" t="s">
        <v>87</v>
      </c>
      <c r="D19" s="32" t="s">
        <v>186</v>
      </c>
      <c r="E19" s="35" t="s">
        <v>106</v>
      </c>
      <c r="F19" s="34" t="s">
        <v>187</v>
      </c>
      <c r="G19" s="34" t="s">
        <v>158</v>
      </c>
      <c r="H19" s="34" t="s">
        <v>188</v>
      </c>
      <c r="I19" s="34"/>
      <c r="J19" s="34" t="s">
        <v>189</v>
      </c>
      <c r="K19" s="30" t="n">
        <f aca="false">A19-10</f>
        <v>46307</v>
      </c>
      <c r="L19" s="30" t="n">
        <f aca="false">A19-1</f>
        <v>46316</v>
      </c>
      <c r="M19" s="31" t="s">
        <v>162</v>
      </c>
    </row>
    <row r="20" customFormat="false" ht="36" hidden="false" customHeight="true" outlineLevel="0" collapsed="false">
      <c r="A20" s="30" t="n">
        <v>46318</v>
      </c>
      <c r="B20" s="31" t="str">
        <f aca="false">TEXT(A20,"ddd")</f>
        <v>Fri</v>
      </c>
      <c r="C20" s="31" t="s">
        <v>87</v>
      </c>
      <c r="D20" s="32" t="s">
        <v>190</v>
      </c>
      <c r="E20" s="35" t="s">
        <v>106</v>
      </c>
      <c r="F20" s="34" t="s">
        <v>166</v>
      </c>
      <c r="G20" s="34" t="s">
        <v>141</v>
      </c>
      <c r="H20" s="34" t="s">
        <v>188</v>
      </c>
      <c r="I20" s="34"/>
      <c r="J20" s="34" t="s">
        <v>191</v>
      </c>
      <c r="K20" s="30" t="n">
        <f aca="false">A20-10</f>
        <v>46308</v>
      </c>
      <c r="L20" s="30" t="n">
        <f aca="false">A20-1</f>
        <v>46317</v>
      </c>
      <c r="M20" s="31" t="s">
        <v>162</v>
      </c>
    </row>
    <row r="21" customFormat="false" ht="36" hidden="false" customHeight="true" outlineLevel="0" collapsed="false">
      <c r="A21" s="30" t="n">
        <v>46325</v>
      </c>
      <c r="B21" s="31" t="str">
        <f aca="false">TEXT(A21,"ddd")</f>
        <v>Fri</v>
      </c>
      <c r="C21" s="31" t="s">
        <v>73</v>
      </c>
      <c r="D21" s="32" t="s">
        <v>192</v>
      </c>
      <c r="E21" s="39" t="s">
        <v>108</v>
      </c>
      <c r="F21" s="34" t="s">
        <v>149</v>
      </c>
      <c r="G21" s="34" t="s">
        <v>193</v>
      </c>
      <c r="H21" s="34" t="s">
        <v>132</v>
      </c>
      <c r="I21" s="34" t="s">
        <v>182</v>
      </c>
      <c r="J21" s="34" t="s">
        <v>194</v>
      </c>
      <c r="K21" s="30" t="n">
        <f aca="false">A21-10</f>
        <v>46315</v>
      </c>
      <c r="L21" s="30" t="n">
        <f aca="false">A21-1</f>
        <v>46324</v>
      </c>
      <c r="M21" s="31" t="s">
        <v>162</v>
      </c>
    </row>
    <row r="22" customFormat="false" ht="36" hidden="false" customHeight="true" outlineLevel="0" collapsed="false">
      <c r="A22" s="30" t="n">
        <v>46326</v>
      </c>
      <c r="B22" s="31" t="str">
        <f aca="false">TEXT(A22,"ddd")</f>
        <v>Sat</v>
      </c>
      <c r="C22" s="31" t="s">
        <v>73</v>
      </c>
      <c r="D22" s="32" t="s">
        <v>192</v>
      </c>
      <c r="E22" s="39" t="s">
        <v>108</v>
      </c>
      <c r="F22" s="34" t="s">
        <v>149</v>
      </c>
      <c r="G22" s="34" t="s">
        <v>193</v>
      </c>
      <c r="H22" s="34" t="s">
        <v>132</v>
      </c>
      <c r="I22" s="34" t="s">
        <v>182</v>
      </c>
      <c r="J22" s="34" t="s">
        <v>195</v>
      </c>
      <c r="K22" s="30" t="n">
        <f aca="false">A22-10</f>
        <v>46316</v>
      </c>
      <c r="L22" s="30" t="n">
        <f aca="false">A22-1</f>
        <v>46325</v>
      </c>
      <c r="M22" s="31" t="s">
        <v>162</v>
      </c>
    </row>
    <row r="23" customFormat="false" ht="36" hidden="false" customHeight="true" outlineLevel="0" collapsed="false">
      <c r="A23" s="30" t="n">
        <v>46327</v>
      </c>
      <c r="B23" s="31" t="str">
        <f aca="false">TEXT(A23,"ddd")</f>
        <v>Sun</v>
      </c>
      <c r="C23" s="31" t="s">
        <v>73</v>
      </c>
      <c r="D23" s="32" t="s">
        <v>192</v>
      </c>
      <c r="E23" s="39" t="s">
        <v>108</v>
      </c>
      <c r="F23" s="34" t="s">
        <v>149</v>
      </c>
      <c r="G23" s="34" t="s">
        <v>193</v>
      </c>
      <c r="H23" s="34" t="s">
        <v>132</v>
      </c>
      <c r="I23" s="34" t="s">
        <v>182</v>
      </c>
      <c r="J23" s="34" t="s">
        <v>196</v>
      </c>
      <c r="K23" s="30" t="n">
        <f aca="false">A23-10</f>
        <v>46317</v>
      </c>
      <c r="L23" s="30" t="n">
        <f aca="false">A23-1</f>
        <v>46326</v>
      </c>
      <c r="M23" s="31" t="s">
        <v>162</v>
      </c>
    </row>
    <row r="24" customFormat="false" ht="36" hidden="false" customHeight="true" outlineLevel="0" collapsed="false">
      <c r="A24" s="30" t="n">
        <v>46334</v>
      </c>
      <c r="B24" s="31" t="str">
        <f aca="false">TEXT(A24,"ddd")</f>
        <v>Sun</v>
      </c>
      <c r="C24" s="31" t="s">
        <v>78</v>
      </c>
      <c r="D24" s="32" t="s">
        <v>197</v>
      </c>
      <c r="E24" s="38" t="s">
        <v>103</v>
      </c>
      <c r="F24" s="34"/>
      <c r="G24" s="34"/>
      <c r="H24" s="34"/>
      <c r="I24" s="34"/>
      <c r="J24" s="34" t="s">
        <v>155</v>
      </c>
      <c r="K24" s="30"/>
      <c r="L24" s="30"/>
      <c r="M24" s="31"/>
    </row>
    <row r="25" customFormat="false" ht="36" hidden="false" customHeight="true" outlineLevel="0" collapsed="false">
      <c r="A25" s="30" t="n">
        <v>46335</v>
      </c>
      <c r="B25" s="31" t="str">
        <f aca="false">TEXT(A25,"ddd")</f>
        <v>Mon</v>
      </c>
      <c r="C25" s="31" t="s">
        <v>84</v>
      </c>
      <c r="D25" s="32" t="s">
        <v>198</v>
      </c>
      <c r="E25" s="38" t="s">
        <v>103</v>
      </c>
      <c r="F25" s="34"/>
      <c r="G25" s="34"/>
      <c r="H25" s="34"/>
      <c r="I25" s="34"/>
      <c r="J25" s="34" t="s">
        <v>155</v>
      </c>
      <c r="K25" s="30"/>
      <c r="L25" s="30"/>
      <c r="M25" s="31"/>
    </row>
    <row r="26" customFormat="false" ht="36" hidden="false" customHeight="true" outlineLevel="0" collapsed="false">
      <c r="A26" s="30" t="n">
        <v>46336</v>
      </c>
      <c r="B26" s="31" t="str">
        <f aca="false">TEXT(A26,"ddd")</f>
        <v>Tue</v>
      </c>
      <c r="C26" s="31" t="s">
        <v>84</v>
      </c>
      <c r="D26" s="32" t="s">
        <v>199</v>
      </c>
      <c r="E26" s="38" t="s">
        <v>103</v>
      </c>
      <c r="F26" s="34"/>
      <c r="G26" s="34"/>
      <c r="H26" s="34"/>
      <c r="I26" s="34"/>
      <c r="J26" s="34" t="s">
        <v>200</v>
      </c>
      <c r="K26" s="30"/>
      <c r="L26" s="30"/>
      <c r="M26" s="31"/>
    </row>
    <row r="27" customFormat="false" ht="36" hidden="false" customHeight="true" outlineLevel="0" collapsed="false">
      <c r="A27" s="30" t="n">
        <v>46354</v>
      </c>
      <c r="B27" s="31" t="str">
        <f aca="false">TEXT(A27,"ddd")</f>
        <v>Sat</v>
      </c>
      <c r="C27" s="31" t="s">
        <v>84</v>
      </c>
      <c r="D27" s="32" t="s">
        <v>201</v>
      </c>
      <c r="E27" s="35" t="s">
        <v>106</v>
      </c>
      <c r="F27" s="34" t="s">
        <v>172</v>
      </c>
      <c r="G27" s="34" t="s">
        <v>193</v>
      </c>
      <c r="H27" s="34" t="s">
        <v>132</v>
      </c>
      <c r="I27" s="34"/>
      <c r="J27" s="34" t="s">
        <v>202</v>
      </c>
      <c r="K27" s="30" t="n">
        <f aca="false">A27-10</f>
        <v>46344</v>
      </c>
      <c r="L27" s="30" t="n">
        <f aca="false">A27-1</f>
        <v>46353</v>
      </c>
      <c r="M27" s="31" t="s">
        <v>162</v>
      </c>
    </row>
    <row r="28" customFormat="false" ht="36" hidden="false" customHeight="true" outlineLevel="0" collapsed="false">
      <c r="A28" s="30" t="n">
        <v>46361</v>
      </c>
      <c r="B28" s="31" t="str">
        <f aca="false">TEXT(A28,"ddd")</f>
        <v>Sat</v>
      </c>
      <c r="C28" s="31" t="s">
        <v>13</v>
      </c>
      <c r="D28" s="32" t="s">
        <v>203</v>
      </c>
      <c r="E28" s="35" t="s">
        <v>106</v>
      </c>
      <c r="F28" s="34" t="s">
        <v>204</v>
      </c>
      <c r="G28" s="34" t="s">
        <v>205</v>
      </c>
      <c r="H28" s="34" t="s">
        <v>206</v>
      </c>
      <c r="I28" s="34"/>
      <c r="J28" s="34" t="s">
        <v>207</v>
      </c>
      <c r="K28" s="30" t="n">
        <f aca="false">A28-10</f>
        <v>46351</v>
      </c>
      <c r="L28" s="30" t="n">
        <f aca="false">A28-1</f>
        <v>46360</v>
      </c>
      <c r="M28" s="31" t="s">
        <v>162</v>
      </c>
    </row>
    <row r="29" customFormat="false" ht="36" hidden="false" customHeight="true" outlineLevel="0" collapsed="false">
      <c r="A29" s="30" t="n">
        <v>46367</v>
      </c>
      <c r="B29" s="31" t="str">
        <f aca="false">TEXT(A29,"ddd")</f>
        <v>Fri</v>
      </c>
      <c r="C29" s="31" t="s">
        <v>13</v>
      </c>
      <c r="D29" s="32" t="s">
        <v>208</v>
      </c>
      <c r="E29" s="38" t="s">
        <v>103</v>
      </c>
      <c r="F29" s="34"/>
      <c r="G29" s="34"/>
      <c r="H29" s="34"/>
      <c r="I29" s="34"/>
      <c r="J29" s="34" t="s">
        <v>209</v>
      </c>
      <c r="K29" s="30"/>
      <c r="L29" s="30"/>
      <c r="M29" s="31"/>
    </row>
    <row r="30" customFormat="false" ht="36" hidden="false" customHeight="true" outlineLevel="0" collapsed="false">
      <c r="A30" s="30" t="n">
        <v>46368</v>
      </c>
      <c r="B30" s="31" t="str">
        <f aca="false">TEXT(A30,"ddd")</f>
        <v>Sat</v>
      </c>
      <c r="C30" s="31" t="s">
        <v>13</v>
      </c>
      <c r="D30" s="32" t="s">
        <v>210</v>
      </c>
      <c r="E30" s="35" t="s">
        <v>106</v>
      </c>
      <c r="F30" s="34" t="s">
        <v>140</v>
      </c>
      <c r="G30" s="34" t="s">
        <v>193</v>
      </c>
      <c r="H30" s="34" t="s">
        <v>211</v>
      </c>
      <c r="I30" s="34"/>
      <c r="J30" s="34" t="s">
        <v>212</v>
      </c>
      <c r="K30" s="30" t="n">
        <f aca="false">A30-10</f>
        <v>46358</v>
      </c>
      <c r="L30" s="30" t="n">
        <f aca="false">A30-1</f>
        <v>46367</v>
      </c>
      <c r="M30" s="31" t="s">
        <v>162</v>
      </c>
    </row>
    <row r="31" customFormat="false" ht="36" hidden="false" customHeight="true" outlineLevel="0" collapsed="false">
      <c r="A31" s="30" t="n">
        <v>46381</v>
      </c>
      <c r="B31" s="31" t="str">
        <f aca="false">TEXT(A31,"ddd")</f>
        <v>Fri</v>
      </c>
      <c r="C31" s="31" t="s">
        <v>13</v>
      </c>
      <c r="D31" s="32" t="s">
        <v>213</v>
      </c>
      <c r="E31" s="38" t="s">
        <v>103</v>
      </c>
      <c r="F31" s="34"/>
      <c r="G31" s="34"/>
      <c r="H31" s="34"/>
      <c r="I31" s="34"/>
      <c r="J31" s="34" t="s">
        <v>155</v>
      </c>
      <c r="K31" s="30"/>
      <c r="L31" s="30"/>
      <c r="M31" s="31"/>
    </row>
    <row r="33" customFormat="false" ht="15" hidden="false" customHeight="false" outlineLevel="0" collapsed="false">
      <c r="A33" s="28" t="s">
        <v>214</v>
      </c>
    </row>
  </sheetData>
  <autoFilter ref="A1:M31"/>
  <dataValidations count="2">
    <dataValidation allowBlank="false" errorStyle="stop" operator="between" showDropDown="false" showErrorMessage="false" showInputMessage="false" sqref="E2:E71" type="list">
      <formula1>"Break/Holiday,Merch Related,MUSA Events,SASS Events,Orientations,Collaborations"</formula1>
      <formula2>0</formula2>
    </dataValidation>
    <dataValidation allowBlank="false" errorStyle="stop" operator="between" showDropDown="false" showErrorMessage="false" showInputMessage="false" sqref="M2:M71" type="list">
      <formula1>"Idea,Planning,Confirmed,Done,Cancelled"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2026-09-27T07:43:16Z</dcterms:created>
  <dc:creator>openpyxl</dc:creator>
  <dc:description/>
  <dc:language>en-US</dc:language>
  <cp:lastModifiedBy/>
  <dcterms:modified xsi:type="dcterms:W3CDTF">2026-09-27T07:43:16Z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