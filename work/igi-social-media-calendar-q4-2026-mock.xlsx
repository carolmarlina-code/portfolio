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Q4 Overview" sheetId="1" state="visible" r:id="rId3"/>
    <sheet name="Jon" sheetId="2" state="visible" r:id="rId4"/>
    <sheet name="Content Briefs" sheetId="3" state="visible" r:id="rId5"/>
  </sheets>
  <definedNames>
    <definedName function="false" hidden="false" localSheetId="1" name="_xlnm.Print_Titles" vbProcedure="false">Jon!$1:$1</definedName>
    <definedName function="false" hidden="true" localSheetId="1" name="_xlnm._FilterDatabase" vbProcedure="false">Jon!$A$1:$J$27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<sst xmlns="http://schemas.openxmlformats.org/spreadsheetml/2006/main" count="361" uniqueCount="239">
  <si>
    <t xml:space="preserve">Image Group International  |  Social Media Calendar Q4 2026</t>
  </si>
  <si>
    <t xml:space="preserve">Mock plan for portfolio purposes. Not an official IGI document. Episode numbers, links, figures and client details are placeholders to confirm.</t>
  </si>
  <si>
    <t xml:space="preserve">Posting cadence</t>
  </si>
  <si>
    <t xml:space="preserve">Day</t>
  </si>
  <si>
    <t xml:space="preserve">What goes out</t>
  </si>
  <si>
    <t xml:space="preserve">Tuesday</t>
  </si>
  <si>
    <t xml:space="preserve">Thought leadership carousel on LinkedIn IGI, repurposed to Instagram</t>
  </si>
  <si>
    <t xml:space="preserve">Thursday</t>
  </si>
  <si>
    <t xml:space="preserve">Podcast episode carousel on LinkedIn IGI, included in the weekly newsletter</t>
  </si>
  <si>
    <t xml:space="preserve">Monthly</t>
  </si>
  <si>
    <t xml:space="preserve">Long-form blog article (see Content Briefs tab)</t>
  </si>
  <si>
    <t xml:space="preserve">Content pillar mix</t>
  </si>
  <si>
    <t xml:space="preserve">Pillar</t>
  </si>
  <si>
    <t xml:space="preserve">Target share</t>
  </si>
  <si>
    <t xml:space="preserve">Posts planned</t>
  </si>
  <si>
    <t xml:space="preserve">Actual share</t>
  </si>
  <si>
    <t xml:space="preserve">Variance</t>
  </si>
  <si>
    <t xml:space="preserve">Authentic Personal Branding</t>
  </si>
  <si>
    <t xml:space="preserve">Reputation &amp; Digital Presence</t>
  </si>
  <si>
    <t xml:space="preserve">Executive Presence &amp; Image</t>
  </si>
  <si>
    <t xml:space="preserve">Leadership &amp; Communication</t>
  </si>
  <si>
    <t xml:space="preserve">Seasonal &amp; Community</t>
  </si>
  <si>
    <t xml:space="preserve">Total</t>
  </si>
  <si>
    <t xml:space="preserve">Blue figures are editable targets. Counts update from the Jon tab.</t>
  </si>
  <si>
    <t xml:space="preserve">Posts by month and status</t>
  </si>
  <si>
    <t xml:space="preserve">Status</t>
  </si>
  <si>
    <t xml:space="preserve">October</t>
  </si>
  <si>
    <t xml:space="preserve">November</t>
  </si>
  <si>
    <t xml:space="preserve">December</t>
  </si>
  <si>
    <t xml:space="preserve">Idea</t>
  </si>
  <si>
    <t xml:space="preserve">Drafted</t>
  </si>
  <si>
    <t xml:space="preserve">In Design</t>
  </si>
  <si>
    <t xml:space="preserve">Awaiting Jon's Approval</t>
  </si>
  <si>
    <t xml:space="preserve">Scheduled</t>
  </si>
  <si>
    <t xml:space="preserve">Published</t>
  </si>
  <si>
    <t xml:space="preserve">Key dates this quarter</t>
  </si>
  <si>
    <t xml:space="preserve">Occasion</t>
  </si>
  <si>
    <t xml:space="preserve">Date</t>
  </si>
  <si>
    <t xml:space="preserve">Tie-in</t>
  </si>
  <si>
    <t xml:space="preserve">Mental Health Month</t>
  </si>
  <si>
    <t xml:space="preserve">1 to 31 Oct</t>
  </si>
  <si>
    <t xml:space="preserve">8 Oct podcast</t>
  </si>
  <si>
    <t xml:space="preserve">World Mental Health Day</t>
  </si>
  <si>
    <t xml:space="preserve">10 Oct</t>
  </si>
  <si>
    <t xml:space="preserve">Derby Day</t>
  </si>
  <si>
    <t xml:space="preserve">31 Oct</t>
  </si>
  <si>
    <t xml:space="preserve">27 Oct carousel, 29 Oct podcast</t>
  </si>
  <si>
    <t xml:space="preserve">Melbourne Cup (public holiday)</t>
  </si>
  <si>
    <t xml:space="preserve">3 Nov</t>
  </si>
  <si>
    <t xml:space="preserve">3 Nov post, pre-scheduled</t>
  </si>
  <si>
    <t xml:space="preserve">Movember</t>
  </si>
  <si>
    <t xml:space="preserve">1 to 30 Nov</t>
  </si>
  <si>
    <t xml:space="preserve">5 Nov podcast</t>
  </si>
  <si>
    <t xml:space="preserve">World Kindness Day</t>
  </si>
  <si>
    <t xml:space="preserve">13 Nov</t>
  </si>
  <si>
    <t xml:space="preserve">10 Nov carousel</t>
  </si>
  <si>
    <t xml:space="preserve">Global Entrepreneurship Week</t>
  </si>
  <si>
    <t xml:space="preserve">Mid Nov (confirm)</t>
  </si>
  <si>
    <t xml:space="preserve">17 Nov carousel, 19 Nov podcast</t>
  </si>
  <si>
    <t xml:space="preserve">International Men's Day</t>
  </si>
  <si>
    <t xml:space="preserve">19 Nov</t>
  </si>
  <si>
    <t xml:space="preserve">19 Nov podcast</t>
  </si>
  <si>
    <t xml:space="preserve">Black Friday</t>
  </si>
  <si>
    <t xml:space="preserve">27 Nov</t>
  </si>
  <si>
    <t xml:space="preserve">24 Nov carousel, 26 Nov podcast</t>
  </si>
  <si>
    <t xml:space="preserve">Festive party season</t>
  </si>
  <si>
    <t xml:space="preserve">Dec</t>
  </si>
  <si>
    <t xml:space="preserve">1 Dec carousel, 3 Dec podcast</t>
  </si>
  <si>
    <t xml:space="preserve">Christmas</t>
  </si>
  <si>
    <t xml:space="preserve">24 to 25 Dec</t>
  </si>
  <si>
    <t xml:space="preserve">24 Dec greeting</t>
  </si>
  <si>
    <t xml:space="preserve">New Year's Eve</t>
  </si>
  <si>
    <t xml:space="preserve">31 Dec</t>
  </si>
  <si>
    <t xml:space="preserve">31 Dec encore episode</t>
  </si>
  <si>
    <t xml:space="preserve">Post/Podcast</t>
  </si>
  <si>
    <t xml:space="preserve">Carousels</t>
  </si>
  <si>
    <t xml:space="preserve">Platform</t>
  </si>
  <si>
    <t xml:space="preserve">Content to go with Carousels</t>
  </si>
  <si>
    <t xml:space="preserve">Content Pillar</t>
  </si>
  <si>
    <t xml:space="preserve">Key Date Tie-in</t>
  </si>
  <si>
    <t xml:space="preserve">Carousel Slide Outline</t>
  </si>
  <si>
    <t xml:space="preserve">Notes</t>
  </si>
  <si>
    <t xml:space="preserve">Finishing the Year With Intent: Your Q4 Brand Audit</t>
  </si>
  <si>
    <t xml:space="preserve">[Canva link]</t>
  </si>
  <si>
    <t xml:space="preserve">Carousel of Podcast [Ep. #] LinkedIn IGI + Newsletter</t>
  </si>
  <si>
    <t xml:space="preserve">New Podcast Episode 🎧
The final quarter is when decision makers quietly decide who they want to work with next year. Is your personal brand ready for that conversation?
In this episode I walk through a simple Q4 brand audit for CEOs, executives and entrepreneurs. We look at how you show up online, how you show up in the room, and whether the two tell the same story.
Learn how to spot the gaps between how you see yourself and how others experience you, and what to fix first before planning season begins.
👉 Listen now [Insert podcast link]
#PersonalBranding #Leadership #BrandAudit #JonMichail</t>
  </si>
  <si>
    <t xml:space="preserve">Start of Q4</t>
  </si>
  <si>
    <t xml:space="preserve">S1 Episode title + cover, S2 Hook question, S3-S5 Three key takeaways, S6 Pull quote from Jon, S7 Listen now CTA</t>
  </si>
  <si>
    <t xml:space="preserve">Pairs with October blog (see Content Briefs).</t>
  </si>
  <si>
    <t xml:space="preserve">Visibility Is Not the Same as Authority</t>
  </si>
  <si>
    <t xml:space="preserve">Carousel for LinkedIn IGI + Instagram</t>
  </si>
  <si>
    <t xml:space="preserve">Being seen is not the same as being trusted.
Many professionals post often, speak at events and grow their following, yet still struggle to turn attention into influence. That is the gap between visibility and authority.
Authority comes from clarity about what you stand for, positioning that makes you the obvious choice, and consistency that builds trust over time. Swipe through to see where your personal brand sits today.
#AuthorityPersonalBranding #PersonalBranding #Leadership #Influence</t>
  </si>
  <si>
    <t xml:space="preserve">S1 Visibility ≠ Authority, S2 The gap explained, S3 Clarity, S4 Positioning, S5 Consistency, S6 Self-check question, S7 Follow IGI</t>
  </si>
  <si>
    <t xml:space="preserve">Uses IGI's Authority Personal Branding™ framing.</t>
  </si>
  <si>
    <t xml:space="preserve">Presence Under Pressure: Wellbeing and Your Personal Brand</t>
  </si>
  <si>
    <t xml:space="preserve">October is Mental Health Month, and this week's episode is one I care deeply about.
We often talk about personal branding as something external. Your image, your profile, your voice. But presence starts on the inside. When you are running on empty, people notice it in your energy, your decisions and your reliability long before you do.
In this episode I share how leaders can protect their wellbeing and their reputation at the same time, and why sustainable visibility beats burnout every time.
If you or someone you know is struggling, please reach out to Beyond Blue on 1300 22 4636 or Lifeline on 13 11 14.
🎧 Listen now [Insert podcast link]
#MentalHealthMonth #Leadership #PersonalBranding #Wellbeing</t>
  </si>
  <si>
    <t xml:space="preserve">Mental Health Month (Oct); World Mental Health Day (10 Oct)</t>
  </si>
  <si>
    <t xml:space="preserve">Verify helpline numbers before publishing.</t>
  </si>
  <si>
    <t xml:space="preserve">6 LinkedIn Profile Fixes That Take Under an Hour</t>
  </si>
  <si>
    <t xml:space="preserve">Your LinkedIn profile is often your first handshake.
You do not need a full rebrand to make a stronger impression. These six fixes take under an hour and can change how decision makers see you straight away. Update your headshot, rewrite your headline, sharpen your About section, use the Featured section, refresh your banner and ask for one meaningful recommendation.
Which one will you tackle first? Tell us in the comments 👇
#LinkedInTips #PersonalBranding #ProfessionalGrowth #DigitalPresence</t>
  </si>
  <si>
    <t xml:space="preserve">S1 Title, S2 Headshot, S3 Headline, S4 About section, S5 Featured, S6 Banner, S7 Recommendations, S8 Comment CTA</t>
  </si>
  <si>
    <t xml:space="preserve">Your LinkedIn Headline Is a Positioning Statement</t>
  </si>
  <si>
    <t xml:space="preserve">Is your LinkedIn headline just your job title?
If so, you are leaving your most valuable piece of digital real estate empty. Your headline follows you into every comment, search result and connection request. It is often the first thing a decision maker reads about you.
In this episode I break down how to turn your headline into a clear positioning statement that says who you help, how you help them and why you are the right person to do it.
🎧 Tune in and then tell me, what does your headline say about you? [Insert podcast link]
#LinkedInTips #PersonalBranding #Positioning #ProfessionalGrowth</t>
  </si>
  <si>
    <t xml:space="preserve">Follows on from 13 Oct carousel.</t>
  </si>
  <si>
    <t xml:space="preserve">A Crisis Doesn't Build Your Reputation. It Reveals It.</t>
  </si>
  <si>
    <t xml:space="preserve">A crisis does not build your reputation. It reveals it.
The leaders who navigate difficult moments well are rarely improvising. They have clear values, trusted relationships and a plan for how they will communicate before anything goes wrong.
Swipe through for four principles of reputation resilience every executive should have in place today, not when the headlines hit.
#ReputationManagement #CrisisCommunication #Leadership #TrustBuilding</t>
  </si>
  <si>
    <t xml:space="preserve">S1 Title, S2 Why preparation matters, S3-S6 Four resilience principles, S7 Book a reputation review CTA</t>
  </si>
  <si>
    <t xml:space="preserve">Reputation Is What They Say When You Leave the Room</t>
  </si>
  <si>
    <t xml:space="preserve">Your reputation is not what you say about yourself. It is what others believe when you are not in the room.
In this episode I explore how perception shapes the decisions made about you, from promotions and board seats to partnerships and investment. We look at the signals people pick up on, the stories that travel without you, and how to take ownership of the narrative with clarity and consistency.
Reputation is built slowly and lost quickly. The good news is that it can be designed.
🎧 Listen now [Insert podcast link]
#Reputation #PersonalBranding #Leadership #TrustBuilding</t>
  </si>
  <si>
    <t xml:space="preserve">Echoes the podcast's own tagline for brand consistency.</t>
  </si>
  <si>
    <t xml:space="preserve">Race Day Is a Networking Day</t>
  </si>
  <si>
    <t xml:space="preserve">Derby Day and Cup Day are almost here. For many Melbourne professionals, race day is really a networking day in a very good outfit.
Your appearance sends a message before you say a word. Swipe through for our corporate marquee guide, covering dress codes, fabrics and colours for spring, footwear that survives the lawn and the etiquette that keeps you remembered for the right reasons.
#SpringRacingCarnival #MelbourneCup #ImageConsulting #BusinessEtiquette</t>
  </si>
  <si>
    <t xml:space="preserve">Spring Racing Carnival (Derby Day 31 Oct, Melbourne Cup 3 Nov)</t>
  </si>
  <si>
    <t xml:space="preserve">S1 Title, S2 Decoding the dress code, S3 Spring fabrics and colours, S4 Footwear on grass, S5 Marquee etiquette, S6 Save for race day CTA</t>
  </si>
  <si>
    <t xml:space="preserve">Use licence-free race day imagery only.</t>
  </si>
  <si>
    <t xml:space="preserve">Social Capital: Turning Events Into Relationships</t>
  </si>
  <si>
    <t xml:space="preserve">Spring Racing season is here, and for many professionals the corporate marquee is as much a networking room as a celebration.
In this episode I talk about building social capital at events without making every conversation transactional. How to prepare, how to be memorable for the right reasons, and how to follow up in a way that turns a pleasant chat into a genuine relationship.
Whether it is Derby Day, a gala dinner or an industry breakfast, the principles are the same.
🎧 Listen now [Insert podcast link]
#Networking #SocialCapital #PersonalBranding #MelbourneBusiness</t>
  </si>
  <si>
    <t xml:space="preserve">Spring Racing Carnival</t>
  </si>
  <si>
    <t xml:space="preserve">Happy Cup Day, Melbourne</t>
  </si>
  <si>
    <t xml:space="preserve">Happy Cup Day, Melbourne 🏇
Whether you are in a corporate marquee, at a backyard sweep or watching from the office, one reminder from us today. Your behaviour is part of your brand, and people remember how you made them feel long after they forget what you wore.
Enjoy the day, celebrate well and look after each other.
#MelbourneCup #CupDay #PersonalBranding #Melbourne</t>
  </si>
  <si>
    <t xml:space="preserve">Melbourne Cup (3 Nov, Melbourne public holiday)</t>
  </si>
  <si>
    <t xml:space="preserve">Single static graphic or 3-slide carousel, S1 Happy Cup Day, S2 Your behaviour is your brand, S3 Celebrate well</t>
  </si>
  <si>
    <t xml:space="preserve">Public holiday. Pre-schedule the day before.</t>
  </si>
  <si>
    <t xml:space="preserve">Men, Image and Wellbeing: What Movember Teaches Us About Presence</t>
  </si>
  <si>
    <t xml:space="preserve">Movember is here, and it is a timely reminder that how men look after themselves shows up in how they lead.
In this episode I talk openly about image, grooming and wellbeing for men in business. We cover why taking care of your presence is not vanity, how self-care builds confidence, and why the strongest leaders are the ones willing to check in on themselves and others.
🎧 Listen now [Insert podcast link]
If you are growing a mo this month, we would love to see it. Share your progress in the comments.
#Movember #MensHealth #Leadership #PersonalBranding</t>
  </si>
  <si>
    <t xml:space="preserve">Movember (Nov)</t>
  </si>
  <si>
    <t xml:space="preserve">Kindness Is an Underrated Brand Asset</t>
  </si>
  <si>
    <t xml:space="preserve">This Friday is World Kindness Day, and we think kindness deserves more credit in business.
Some of the most respected leaders share one quality. They make people feel valued. Kindness builds loyalty, strengthens teams and shapes a reputation that competitors cannot copy.
Swipe through for five small acts of kindness that leave a lasting impression at work. Then tag someone whose kindness shaped your career 👇
#WorldKindnessDay #Leadership #PersonalBranding #WorkplaceCulture</t>
  </si>
  <si>
    <t xml:space="preserve">World Kindness Day (13 Nov)</t>
  </si>
  <si>
    <t xml:space="preserve">S1 Title, S2 Why kindness is strategic, S3-S7 Five small acts, S8 Tag someone CTA</t>
  </si>
  <si>
    <t xml:space="preserve">On Camera, On Brand: Executive Presence in a Hybrid World</t>
  </si>
  <si>
    <t xml:space="preserve">So many professional first impressions now happen through a screen. Are you as credible on camera as you are in the room?
In this episode I share practical ways to carry your executive presence into video calls, virtual panels and recorded content. We cover lighting, framing, voice, attire and the small habits that quietly undermine your authority online.
Hybrid work is here to stay. Your presence needs to work in both worlds.
🎧 Listen now [Insert podcast link]
#ExecutivePresence #HybridWork #PersonalBranding #Communication</t>
  </si>
  <si>
    <t xml:space="preserve">Pairs with November blog (see Content Briefs).</t>
  </si>
  <si>
    <t xml:space="preserve">Investors Buy the Founder Before the Business</t>
  </si>
  <si>
    <t xml:space="preserve">Before investors back a business, they back the founder.
Your pitch deck may explain the opportunity, but your presence, credibility and track record answer the question every investor is really asking. Can I trust this person with my money?
Swipe through for five ways founders can strengthen their personal brand ahead of their next raise.
#Founders #Startups #PersonalBranding #GEW2026</t>
  </si>
  <si>
    <t xml:space="preserve">Global Entrepreneurship Week (mid Nov)</t>
  </si>
  <si>
    <t xml:space="preserve">S1 Title, S2 The real investor question, S3-S7 Five founder brand moves, S8 Follow IGI</t>
  </si>
  <si>
    <t xml:space="preserve">Confirm GEW 2026 dates and hashtag.</t>
  </si>
  <si>
    <t xml:space="preserve">Founder-Led Branding: When Your Name Is on the Door</t>
  </si>
  <si>
    <t xml:space="preserve">It is Global Entrepreneurship Week, and this episode is for every founder who has ever wondered whether they really need a personal brand.
The short answer is yes. Customers, investors and future hires are assessing you long before they assess your product. Your credibility becomes the company's credibility.
In this episode I explore how founders can build a personal brand that strengthens the business rather than competing with it, and how to stay authentic while your profile grows.
🎧 Listen now [Insert podcast link]
#Entrepreneurship #FounderBrand #PersonalBranding #GEW2026</t>
  </si>
  <si>
    <t xml:space="preserve">Global Entrepreneurship Week; International Men's Day (19 Nov)</t>
  </si>
  <si>
    <t xml:space="preserve">Confirm GEW 2026 dates.</t>
  </si>
  <si>
    <t xml:space="preserve">If Your Only Differentiator Is Price, You Don't Have a Brand</t>
  </si>
  <si>
    <t xml:space="preserve">If your only differentiator is price, you do not have a brand. You have a discount.
This Black Friday week, we are making the case for competing on value instead. Swipe through to see how clear positioning, visible expertise and a strong reputation allow you to charge what you are worth, with confidence.
#Branding #PremiumPositioning #PersonalBranding #BlackFriday</t>
  </si>
  <si>
    <t xml:space="preserve">Black Friday (27 Nov)</t>
  </si>
  <si>
    <t xml:space="preserve">S1 Title, S2 Price vs value, S3 Clear positioning, S4 Visible expertise, S5 Strong reputation, S6 Book a consultation CTA</t>
  </si>
  <si>
    <t xml:space="preserve">Premium Positioning: Why Discounting Yourself Costs More</t>
  </si>
  <si>
    <t xml:space="preserve">Tomorrow is Black Friday, and everything seems to be on sale. Your expertise should not be.
In this episode I unpack premium positioning for consultants, advisers and leaders. Why competing on price erodes trust, how to communicate value with confidence, and what authority looks like when you stop apologising for your fees.
🎧 Listen now [Insert podcast link]
#PremiumPositioning #PersonalBranding #BusinessGrowth #Authority</t>
  </si>
  <si>
    <t xml:space="preserve">Christmas Party Dress Codes Decoded</t>
  </si>
  <si>
    <t xml:space="preserve">Smart casual. Cocktail. Festive. What do they actually mean?
Christmas party invitations are rolling in, and dress codes are not always clear. Swipe through for our simple guide to getting it right, so you look polished, feel comfortable and stay on brand all season.
#ChristmasParty #DressCode #ImageConsulting #PersonalStyle</t>
  </si>
  <si>
    <t xml:space="preserve">S1 Title, S2 Smart casual, S3 Business casual, S4 Cocktail, S5 Festive, S6 Save for later CTA</t>
  </si>
  <si>
    <t xml:space="preserve">Festive Season Etiquette: The Office Party and Your Reputation</t>
  </si>
  <si>
    <t xml:space="preserve">The office party lasts one night. The stories can last all year.
As the festive season kicks off, this episode covers the etiquette every professional should keep in mind. From dress codes and drinks to what ends up on social media, I share how to enjoy the celebrations while protecting the reputation you have worked hard to build.
🎧 Listen now [Insert podcast link]
#Etiquette #Reputation #PersonalBranding #WorkplaceCulture</t>
  </si>
  <si>
    <t xml:space="preserve">Don't Wait for Your Performance Review to Tell Your Story</t>
  </si>
  <si>
    <t xml:space="preserve">Do not wait for your performance review to tell your story.
The professionals who progress fastest make their contributions visible throughout the year, not just in December. Swipe through for four ways to document your wins, communicate your impact and make sure the right people know what you have achieved.
#CareerGrowth #PersonalBranding #PerformanceReview #Leadership</t>
  </si>
  <si>
    <t xml:space="preserve">Year-end reviews</t>
  </si>
  <si>
    <t xml:space="preserve">S1 Title, S2-S5 Four visibility habits, S6 Comment with your biggest 2026 win</t>
  </si>
  <si>
    <t xml:space="preserve">Reinvention: Evolving Your Career Image for the Year Ahead</t>
  </si>
  <si>
    <t xml:space="preserve">We all need to reinvent ourselves several times throughout our careers.
As the year winds down, it is the perfect moment to ask whether your image still reflects where you are heading, not just where you have been. In this episode I share how to evolve your career image with intention, from updating how you present yourself to reshaping the story you tell about your experience.
🎧 Listen now [Insert podcast link]
#CareerGrowth #Reinvention #PersonalBranding #Leadership</t>
  </si>
  <si>
    <t xml:space="preserve">Builds on back-catalogue episode 'Reinvention and Evolution of your Career Image'. Link it in show notes.</t>
  </si>
  <si>
    <t xml:space="preserve">3 Personal Brand Shifts We're Watching for 2027</t>
  </si>
  <si>
    <t xml:space="preserve">Three personal brand shifts we are watching for 2027.
1. Authenticity becomes the differentiator as AI-generated content becomes the norm.
2. Video leads on LinkedIn, rewarding leaders who are comfortable on camera.
3. Reputation outweighs reach, as trust matters more than follower counts.
Which one do you think will matter most in your industry?
#PersonalBranding #Trends2027 #ThoughtLeadership #LinkedIn</t>
  </si>
  <si>
    <t xml:space="preserve">S1 Title, S2 Shift 1, S3 Shift 2, S4 Shift 3, S5 Which matters most? CTA</t>
  </si>
  <si>
    <t xml:space="preserve">Framed as IGI's view, not a data claim.</t>
  </si>
  <si>
    <t xml:space="preserve">Authenticity in the Age of AI</t>
  </si>
  <si>
    <t xml:space="preserve">AI can write your posts. It cannot build your reputation.
With so much content now polished by the same tools, many professionals are starting to sound exactly alike. In this episode I explore why authenticity has become a genuine competitive advantage, and how to use AI as a support without losing the voice, stories and judgement that make you trusted.
🎧 Listen now [Insert podcast link]
#AuthenticPersonalBranding #AI #ThoughtLeadership #PersonalBranding</t>
  </si>
  <si>
    <t xml:space="preserve">Pairs with December blog (see Content Briefs). Last newsletter before the break.</t>
  </si>
  <si>
    <t xml:space="preserve">Thank You for 2026</t>
  </si>
  <si>
    <t xml:space="preserve">Thank you for an incredible 2026.
This year we were proud to support [NUMBER] clients across [INDUSTRIES / COUNTRIES], release [NUMBER] podcast episodes and welcome [NUMBER] new members to our community. Swipe through for a few highlights from our year.
We look forward to helping you elevate your brand in 2027.
#YearInReview #ThankYou #ImageGroupInternational #PersonalBranding</t>
  </si>
  <si>
    <t xml:space="preserve">End of year</t>
  </si>
  <si>
    <t xml:space="preserve">S1 Thank you 2026, S2-S5 Highlights [confirm figures], S6 See you in 2027</t>
  </si>
  <si>
    <t xml:space="preserve">All figures to be confirmed by Jon before publishing. Client names only with written consent.</t>
  </si>
  <si>
    <t xml:space="preserve">Season's Greetings from Image Group International</t>
  </si>
  <si>
    <t xml:space="preserve">Carousel for LinkedIn IGI + Newsletter</t>
  </si>
  <si>
    <t xml:space="preserve">From all of us at Image Group International, thank you for being part of our community this year.
To our clients, podcast listeners and everyone who has shared, commented and challenged our thinking, we are grateful. We wish you a restful festive season and a new year full of clarity and purpose.
Our office will be closed from [DATE] and will reopen on [DATE].
#SeasonsGreetings #ThankYou #ImageGroupInternational</t>
  </si>
  <si>
    <t xml:space="preserve">Christmas Eve</t>
  </si>
  <si>
    <t xml:space="preserve">Single festive static graphic</t>
  </si>
  <si>
    <t xml:space="preserve">No new episode this week. Pre-schedule. Confirm holiday closure dates.</t>
  </si>
  <si>
    <t xml:space="preserve">Encore: Setting Intentional Goals for Your Personal Brand</t>
  </si>
  <si>
    <t xml:space="preserve">Carousel of Podcast (Encore) LinkedIn IGI + Newsletter</t>
  </si>
  <si>
    <t xml:space="preserve">Before you set your goals for 2027, decide how you want to be known.
To close out the year, we are revisiting a favourite from our back catalogue. I share how to set intentional goals that align with your personal brand, so your effort in the new year builds the reputation you actually want.
Happy New Year from all of us at Image Group International.
🎧 Listen now [Insert podcast link]
#NewYearGoals #PersonalBranding #Intention #Leadership</t>
  </si>
  <si>
    <t xml:space="preserve">Encore of existing episode 'Setting Intentional Goals for Your Personal Brand'. Pre-schedule.</t>
  </si>
  <si>
    <t xml:space="preserve">Field</t>
  </si>
  <si>
    <t xml:space="preserve">October blog</t>
  </si>
  <si>
    <t xml:space="preserve">November blog</t>
  </si>
  <si>
    <t xml:space="preserve">December blog</t>
  </si>
  <si>
    <t xml:space="preserve">Content focus / Tentative title</t>
  </si>
  <si>
    <t xml:space="preserve">The Personal Brand Audit Every Leader Should Run Before Planning Season</t>
  </si>
  <si>
    <t xml:space="preserve">Executive Presence in a Hybrid World: How to Look as Credible on Camera as You Do in the Room</t>
  </si>
  <si>
    <t xml:space="preserve">Authenticity in the Age of AI: Why Your Personal Brand Matters More in 2027</t>
  </si>
  <si>
    <t xml:space="preserve">Due date</t>
  </si>
  <si>
    <t xml:space="preserve">Topic summary / description</t>
  </si>
  <si>
    <t xml:space="preserve">A practical, step-by-step audit leaders can run in Q4 to check whether their online presence, in-person image and reputation tell the same story before next year's planning begins. Supports the 1 Oct podcast episode.</t>
  </si>
  <si>
    <t xml:space="preserve">Practical guidance on carrying executive presence across video calls, virtual panels and recorded content, covering lighting, framing, voice, attire and body language. Supports the 12 Nov podcast episode.</t>
  </si>
  <si>
    <t xml:space="preserve">An opinion-led piece on why authentic voice and reputation are becoming a competitive advantage as AI-generated content becomes widespread, with guidance on using AI as a support tool without losing credibility. Supports the 17 Dec podcast episode.</t>
  </si>
  <si>
    <t xml:space="preserve">Post length</t>
  </si>
  <si>
    <t xml:space="preserve">1,200 to 1,500 words</t>
  </si>
  <si>
    <t xml:space="preserve">1,000 to 1,300 words</t>
  </si>
  <si>
    <t xml:space="preserve">Target keywords</t>
  </si>
  <si>
    <t xml:space="preserve">personal brand audit</t>
  </si>
  <si>
    <t xml:space="preserve">executive presence</t>
  </si>
  <si>
    <t xml:space="preserve">authentic personal branding</t>
  </si>
  <si>
    <t xml:space="preserve">Secondary keywords</t>
  </si>
  <si>
    <t xml:space="preserve">personal branding for executives; LinkedIn profile review; reputation management Melbourne</t>
  </si>
  <si>
    <t xml:space="preserve">virtual presence tips; video call presence; image consultant Melbourne</t>
  </si>
  <si>
    <t xml:space="preserve">AI and personal branding; thought leadership content; LinkedIn strategy 2027</t>
  </si>
  <si>
    <t xml:space="preserve">Headlines / Title</t>
  </si>
  <si>
    <t xml:space="preserve">1. The Personal Brand Audit Every Leader Should Run Before Planning Season
2. Is Your Personal Brand Ready for 2027? A Q4 Audit for Leaders
3. Five Questions to Audit Your Personal Brand This Quarter</t>
  </si>
  <si>
    <t xml:space="preserve">1. Executive Presence in a Hybrid World
2. On Camera, On Brand: Virtual Presence for Leaders
3. How to Look as Credible on Zoom as You Do in Person</t>
  </si>
  <si>
    <t xml:space="preserve">1. Authenticity in the Age of AI
2. AI Can Write Your Posts. It Cannot Build Your Reputation.
3. Why Your Personal Brand Matters More in 2027</t>
  </si>
  <si>
    <t xml:space="preserve">SEO description (155-160 characters)</t>
  </si>
  <si>
    <t xml:space="preserve">Run a personal brand audit before planning season. Learn how leaders can check that their online presence, image and reputation tell a single consistent story.</t>
  </si>
  <si>
    <t xml:space="preserve">Learn how to carry your executive presence into video calls and virtual events, with practical tips on lighting, framing, voice and attire for hybrid leaders.</t>
  </si>
  <si>
    <t xml:space="preserve">As AI-generated content becomes the norm, authenticity is a real advantage. Learn how leaders can use AI wisely without losing the voice that builds trust.</t>
  </si>
  <si>
    <t xml:space="preserve">SEO character count</t>
  </si>
  <si>
    <t xml:space="preserve">References</t>
  </si>
  <si>
    <t xml:space="preserve">[Credible sources on executive reputation and trust, to be sourced and verified]</t>
  </si>
  <si>
    <t xml:space="preserve">[Sources on hybrid work and virtual communication, to be sourced and verified]</t>
  </si>
  <si>
    <t xml:space="preserve">[Recent credible reporting on AI content adoption, to be sourced and verified]</t>
  </si>
  <si>
    <t xml:space="preserve">Internal links</t>
  </si>
  <si>
    <t xml:space="preserve">[IGI Personal Branding service page]; [Podcast episode, 1 Oct]; [Contact / consultation page]</t>
  </si>
  <si>
    <t xml:space="preserve">[IGI Image Consulting service page]; [Podcast episode, 12 Nov]; [Oct blog]</t>
  </si>
  <si>
    <t xml:space="preserve">[IGI Personal Branding service page]; [Podcast episode, 17 Dec]; [15 Dec trends carousel]</t>
  </si>
  <si>
    <t xml:space="preserve">Competitor articles</t>
  </si>
  <si>
    <t xml:space="preserve">[Top 3 ranking articles for 'personal brand audit', to research]</t>
  </si>
  <si>
    <t xml:space="preserve">[Top 3 ranking articles for 'executive presence virtual', to research]</t>
  </si>
  <si>
    <t xml:space="preserve">[Top 3 ranking articles for 'AI personal branding', to research]</t>
  </si>
  <si>
    <t xml:space="preserve">Product tie-in</t>
  </si>
  <si>
    <t xml:space="preserve">Personal brand consultation with Jon Michail [confirm current offer]</t>
  </si>
  <si>
    <t xml:space="preserve">Executive presence and image coaching [confirm current offer]</t>
  </si>
  <si>
    <t xml:space="preserve">Authority Personal Branding™ programme [confirm current offer]</t>
  </si>
  <si>
    <t xml:space="preserve">CTA</t>
  </si>
  <si>
    <t xml:space="preserve">Book a personal brand consultation to start 2027 with clarity.</t>
  </si>
  <si>
    <t xml:space="preserve">Speak with our team about executive presence coaching.</t>
  </si>
  <si>
    <t xml:space="preserve">Start 2027 with a brand that sounds like you. Book a consultation.</t>
  </si>
  <si>
    <t xml:space="preserve">Include a downloadable checklist if design capacity allows.</t>
  </si>
  <si>
    <t xml:space="preserve">Use before and after framing examples. No client images without written consent.</t>
  </si>
  <si>
    <t xml:space="preserve">Keep Jon's point of view front and centre. Avoid unsupported statistics.</t>
  </si>
  <si>
    <t xml:space="preserve">Fields follow the IGI content brief template.</t>
  </si>
</sst>
</file>

<file path=xl/styles.xml><?xml version="1.0" encoding="utf-8"?>
<styleSheet xmlns="http://schemas.openxmlformats.org/spreadsheetml/2006/main">
  <numFmts count="7">
    <numFmt numFmtId="164" formatCode="General"/>
    <numFmt numFmtId="165" formatCode="0.0%;\-0.0%;\-"/>
    <numFmt numFmtId="166" formatCode="General"/>
    <numFmt numFmtId="167" formatCode="0%"/>
    <numFmt numFmtId="168" formatCode="0;\-0;\-"/>
    <numFmt numFmtId="169" formatCode="ddd\ d\ mmm"/>
    <numFmt numFmtId="170" formatCode="ddd\ d\ mmmm\ yyyy"/>
  </numFmts>
  <fonts count="13">
    <font>
      <sz val="11"/>
      <color theme="1"/>
      <name val="Calibri"/>
      <family val="2"/>
      <charset val="1"/>
    </font>
    <font>
      <sz val="10"/>
      <name val="Arial"/>
      <family val="0"/>
    </font>
    <font>
      <sz val="10"/>
      <name val="Arial"/>
      <family val="0"/>
    </font>
    <font>
      <sz val="10"/>
      <name val="Arial"/>
      <family val="0"/>
    </font>
    <font>
      <sz val="10"/>
      <name val="Arial"/>
      <family val="0"/>
      <charset val="1"/>
    </font>
    <font>
      <b val="true"/>
      <sz val="16"/>
      <color rgb="FFFFFFFF"/>
      <name val="Arial"/>
      <family val="0"/>
      <charset val="1"/>
    </font>
    <font>
      <i val="true"/>
      <sz val="9"/>
      <color rgb="FF7F7F7F"/>
      <name val="Arial"/>
      <family val="0"/>
      <charset val="1"/>
    </font>
    <font>
      <b val="true"/>
      <sz val="11"/>
      <color rgb="FF1F3864"/>
      <name val="Arial"/>
      <family val="0"/>
      <charset val="1"/>
    </font>
    <font>
      <b val="true"/>
      <sz val="10"/>
      <name val="Arial"/>
      <family val="0"/>
      <charset val="1"/>
    </font>
    <font>
      <sz val="10"/>
      <color rgb="FF0000FF"/>
      <name val="Arial"/>
      <family val="0"/>
      <charset val="1"/>
    </font>
    <font>
      <u val="single"/>
      <sz val="10"/>
      <color rgb="FF0000FF"/>
      <name val="Arial"/>
      <family val="0"/>
      <charset val="1"/>
    </font>
    <font>
      <sz val="10"/>
      <color rgb="FF7F7F7F"/>
      <name val="Arial"/>
      <family val="0"/>
      <charset val="1"/>
    </font>
    <font>
      <i val="true"/>
      <sz val="10"/>
      <color rgb="FF7F7F7F"/>
      <name val="Arial"/>
      <family val="0"/>
      <charset val="1"/>
    </font>
  </fonts>
  <fills count="12">
    <fill>
      <patternFill patternType="none"/>
    </fill>
    <fill>
      <patternFill patternType="gray125"/>
    </fill>
    <fill>
      <patternFill patternType="solid">
        <fgColor rgb="FF1F3864"/>
        <bgColor rgb="FF333333"/>
      </patternFill>
    </fill>
    <fill>
      <patternFill patternType="solid">
        <fgColor rgb="FFFFF2CC"/>
        <bgColor rgb="FFFCE5CD"/>
      </patternFill>
    </fill>
    <fill>
      <patternFill patternType="solid">
        <fgColor rgb="FFF2F2F2"/>
        <bgColor rgb="FFF7F9FC"/>
      </patternFill>
    </fill>
    <fill>
      <patternFill patternType="solid">
        <fgColor rgb="FFDDEBF7"/>
        <bgColor rgb="FFD9EAD3"/>
      </patternFill>
    </fill>
    <fill>
      <patternFill patternType="solid">
        <fgColor rgb="FFEAD1F5"/>
        <bgColor rgb="FFD9D9D9"/>
      </patternFill>
    </fill>
    <fill>
      <patternFill patternType="solid">
        <fgColor rgb="FFFCE5CD"/>
        <bgColor rgb="FFFFF2CC"/>
      </patternFill>
    </fill>
    <fill>
      <patternFill patternType="solid">
        <fgColor rgb="FFD9EAD3"/>
        <bgColor rgb="FFDDEBF7"/>
      </patternFill>
    </fill>
    <fill>
      <patternFill patternType="solid">
        <fgColor rgb="FFB6D7A8"/>
        <bgColor rgb="FFD9D9D9"/>
      </patternFill>
    </fill>
    <fill>
      <patternFill patternType="solid">
        <fgColor rgb="FFFFFFFF"/>
        <bgColor rgb="FFF7F9FC"/>
      </patternFill>
    </fill>
    <fill>
      <patternFill patternType="solid">
        <fgColor rgb="FFF7F9FC"/>
        <bgColor rgb="FFFFFFFF"/>
      </patternFill>
    </fill>
  </fills>
  <borders count="5">
    <border diagonalUp="false" diagonalDown="false">
      <left/>
      <right/>
      <top/>
      <bottom/>
      <diagonal/>
    </border>
    <border diagonalUp="false" diagonalDown="false">
      <left/>
      <right/>
      <top/>
      <bottom style="medium">
        <color rgb="FF1F3864"/>
      </bottom>
      <diagonal/>
    </border>
    <border diagonalUp="false" diagonalDown="false">
      <left style="thin">
        <color rgb="FFD9D9D9"/>
      </left>
      <right style="thin">
        <color rgb="FFD9D9D9"/>
      </right>
      <top style="thin">
        <color rgb="FFD9D9D9"/>
      </top>
      <bottom style="thin">
        <color rgb="FFD9D9D9"/>
      </bottom>
      <diagonal/>
    </border>
    <border diagonalUp="false" diagonalDown="false">
      <left style="thin">
        <color rgb="FFD9D9D9"/>
      </left>
      <right style="thin">
        <color rgb="FFD9D9D9"/>
      </right>
      <top style="thin">
        <color rgb="FFD9D9D9"/>
      </top>
      <bottom style="medium">
        <color rgb="FFBF9000"/>
      </bottom>
      <diagonal/>
    </border>
    <border diagonalUp="false" diagonalDown="false">
      <left style="thin">
        <color rgb="FFD9D9D9"/>
      </left>
      <right style="thin">
        <color rgb="FFD9D9D9"/>
      </right>
      <top style="medium">
        <color rgb="FFBF9000"/>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2" borderId="0" xfId="0" applyFont="true" applyBorder="true" applyAlignment="true" applyProtection="false">
      <alignment horizontal="general" vertical="center" textRotation="0" wrapText="false" indent="1" shrinkToFit="false"/>
      <protection locked="true" hidden="false"/>
    </xf>
    <xf numFmtId="164" fontId="6" fillId="0" borderId="0" xfId="0" applyFont="true" applyBorder="true" applyAlignment="true" applyProtection="false">
      <alignment horizontal="general" vertical="center" textRotation="0" wrapText="true" indent="1"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8" fillId="3" borderId="2" xfId="0" applyFont="true" applyBorder="true" applyAlignment="true" applyProtection="false">
      <alignment horizontal="left" vertical="center" textRotation="0" wrapText="false" indent="0" shrinkToFit="false"/>
      <protection locked="true" hidden="false"/>
    </xf>
    <xf numFmtId="164" fontId="8" fillId="0" borderId="2" xfId="0" applyFont="true" applyBorder="true" applyAlignment="true" applyProtection="false">
      <alignment horizontal="left" vertical="center" textRotation="0" wrapText="true" indent="0" shrinkToFit="false"/>
      <protection locked="true" hidden="false"/>
    </xf>
    <xf numFmtId="164" fontId="4" fillId="0" borderId="2" xfId="0" applyFont="true" applyBorder="true" applyAlignment="true" applyProtection="false">
      <alignment horizontal="left" vertical="center" textRotation="0" wrapText="false" indent="0" shrinkToFit="false"/>
      <protection locked="true" hidden="false"/>
    </xf>
    <xf numFmtId="164" fontId="8" fillId="3" borderId="2" xfId="0" applyFont="true" applyBorder="true" applyAlignment="true" applyProtection="false">
      <alignment horizontal="center" vertical="center" textRotation="0" wrapText="false" indent="0" shrinkToFit="false"/>
      <protection locked="true" hidden="false"/>
    </xf>
    <xf numFmtId="164" fontId="4" fillId="0" borderId="2" xfId="0" applyFont="true" applyBorder="true" applyAlignment="true" applyProtection="false">
      <alignment horizontal="left" vertical="center" textRotation="0" wrapText="true" indent="0" shrinkToFit="false"/>
      <protection locked="true" hidden="false"/>
    </xf>
    <xf numFmtId="165" fontId="9" fillId="0" borderId="2" xfId="0" applyFont="true" applyBorder="true" applyAlignment="true" applyProtection="false">
      <alignment horizontal="center" vertical="center" textRotation="0" wrapText="true" indent="0" shrinkToFit="false"/>
      <protection locked="true" hidden="false"/>
    </xf>
    <xf numFmtId="166" fontId="4" fillId="0" borderId="2" xfId="0" applyFont="true" applyBorder="true" applyAlignment="true" applyProtection="false">
      <alignment horizontal="center" vertical="center" textRotation="0" wrapText="true" indent="0" shrinkToFit="false"/>
      <protection locked="true" hidden="false"/>
    </xf>
    <xf numFmtId="165" fontId="4" fillId="0" borderId="2" xfId="0" applyFont="true" applyBorder="true" applyAlignment="true" applyProtection="false">
      <alignment horizontal="center" vertical="center" textRotation="0" wrapText="true" indent="0" shrinkToFit="false"/>
      <protection locked="true" hidden="false"/>
    </xf>
    <xf numFmtId="164" fontId="8" fillId="4" borderId="2" xfId="0" applyFont="true" applyBorder="true" applyAlignment="true" applyProtection="false">
      <alignment horizontal="left" vertical="center" textRotation="0" wrapText="true" indent="0" shrinkToFit="false"/>
      <protection locked="true" hidden="false"/>
    </xf>
    <xf numFmtId="167" fontId="8" fillId="4" borderId="2" xfId="0" applyFont="true" applyBorder="true" applyAlignment="true" applyProtection="false">
      <alignment horizontal="center" vertical="center" textRotation="0" wrapText="true" indent="0" shrinkToFit="false"/>
      <protection locked="true" hidden="false"/>
    </xf>
    <xf numFmtId="166" fontId="8" fillId="4" borderId="2" xfId="0" applyFont="true" applyBorder="true" applyAlignment="true" applyProtection="false">
      <alignment horizontal="center" vertical="center"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8" fontId="4" fillId="0" borderId="2" xfId="0" applyFont="true" applyBorder="true" applyAlignment="true" applyProtection="false">
      <alignment horizontal="center" vertical="center" textRotation="0" wrapText="true" indent="0" shrinkToFit="false"/>
      <protection locked="true" hidden="false"/>
    </xf>
    <xf numFmtId="164" fontId="4" fillId="5" borderId="2" xfId="0" applyFont="true" applyBorder="true" applyAlignment="true" applyProtection="false">
      <alignment horizontal="left" vertical="center" textRotation="0" wrapText="true" indent="0" shrinkToFit="false"/>
      <protection locked="true" hidden="false"/>
    </xf>
    <xf numFmtId="164" fontId="4" fillId="6" borderId="2" xfId="0" applyFont="true" applyBorder="true" applyAlignment="true" applyProtection="false">
      <alignment horizontal="left" vertical="center" textRotation="0" wrapText="true" indent="0" shrinkToFit="false"/>
      <protection locked="true" hidden="false"/>
    </xf>
    <xf numFmtId="164" fontId="4" fillId="7" borderId="2" xfId="0" applyFont="true" applyBorder="true" applyAlignment="true" applyProtection="false">
      <alignment horizontal="left" vertical="center" textRotation="0" wrapText="true" indent="0" shrinkToFit="false"/>
      <protection locked="true" hidden="false"/>
    </xf>
    <xf numFmtId="164" fontId="4" fillId="8" borderId="2" xfId="0" applyFont="true" applyBorder="true" applyAlignment="true" applyProtection="false">
      <alignment horizontal="left" vertical="center" textRotation="0" wrapText="true" indent="0" shrinkToFit="false"/>
      <protection locked="true" hidden="false"/>
    </xf>
    <xf numFmtId="164" fontId="4" fillId="9" borderId="2" xfId="0" applyFont="true" applyBorder="true" applyAlignment="true" applyProtection="false">
      <alignment horizontal="left" vertical="center" textRotation="0" wrapText="true" indent="0" shrinkToFit="false"/>
      <protection locked="true" hidden="false"/>
    </xf>
    <xf numFmtId="164" fontId="4" fillId="0" borderId="2" xfId="0" applyFont="true" applyBorder="true" applyAlignment="true" applyProtection="false">
      <alignment horizontal="left" vertical="center" textRotation="0" wrapText="false" indent="1" shrinkToFit="false"/>
      <protection locked="true" hidden="false"/>
    </xf>
    <xf numFmtId="164" fontId="8" fillId="3" borderId="3" xfId="0" applyFont="true" applyBorder="true" applyAlignment="true" applyProtection="false">
      <alignment horizontal="left" vertical="center" textRotation="0" wrapText="true" indent="0" shrinkToFit="false"/>
      <protection locked="true" hidden="false"/>
    </xf>
    <xf numFmtId="164" fontId="8" fillId="3" borderId="3" xfId="0" applyFont="true" applyBorder="true" applyAlignment="true" applyProtection="false">
      <alignment horizontal="center" vertical="center" textRotation="0" wrapText="true" indent="0" shrinkToFit="false"/>
      <protection locked="true" hidden="false"/>
    </xf>
    <xf numFmtId="164" fontId="8" fillId="10" borderId="2" xfId="0" applyFont="true" applyBorder="true" applyAlignment="true" applyProtection="false">
      <alignment horizontal="left" vertical="top" textRotation="0" wrapText="true" indent="0" shrinkToFit="false"/>
      <protection locked="true" hidden="false"/>
    </xf>
    <xf numFmtId="164" fontId="10" fillId="10" borderId="2" xfId="0" applyFont="true" applyBorder="true" applyAlignment="true" applyProtection="false">
      <alignment horizontal="center" vertical="top" textRotation="0" wrapText="true" indent="0" shrinkToFit="false"/>
      <protection locked="true" hidden="false"/>
    </xf>
    <xf numFmtId="169" fontId="4" fillId="10" borderId="2" xfId="0" applyFont="true" applyBorder="true" applyAlignment="true" applyProtection="false">
      <alignment horizontal="center" vertical="top" textRotation="0" wrapText="true" indent="0" shrinkToFit="false"/>
      <protection locked="true" hidden="false"/>
    </xf>
    <xf numFmtId="164" fontId="4" fillId="10" borderId="2" xfId="0" applyFont="true" applyBorder="true" applyAlignment="true" applyProtection="false">
      <alignment horizontal="left" vertical="top" textRotation="0" wrapText="true" indent="0" shrinkToFit="false"/>
      <protection locked="true" hidden="false"/>
    </xf>
    <xf numFmtId="164" fontId="4" fillId="10" borderId="2" xfId="0" applyFont="true" applyBorder="true" applyAlignment="true" applyProtection="false">
      <alignment horizontal="general" vertical="top" textRotation="0" wrapText="true" indent="1" shrinkToFit="false"/>
      <protection locked="true" hidden="false"/>
    </xf>
    <xf numFmtId="164" fontId="4" fillId="10" borderId="2" xfId="0" applyFont="true" applyBorder="true" applyAlignment="true" applyProtection="false">
      <alignment horizontal="center" vertical="top" textRotation="0" wrapText="true" indent="0" shrinkToFit="false"/>
      <protection locked="true" hidden="false"/>
    </xf>
    <xf numFmtId="164" fontId="8" fillId="11" borderId="4" xfId="0" applyFont="true" applyBorder="true" applyAlignment="true" applyProtection="false">
      <alignment horizontal="left" vertical="top" textRotation="0" wrapText="true" indent="0" shrinkToFit="false"/>
      <protection locked="true" hidden="false"/>
    </xf>
    <xf numFmtId="164" fontId="10" fillId="11" borderId="4" xfId="0" applyFont="true" applyBorder="true" applyAlignment="true" applyProtection="false">
      <alignment horizontal="center" vertical="top" textRotation="0" wrapText="true" indent="0" shrinkToFit="false"/>
      <protection locked="true" hidden="false"/>
    </xf>
    <xf numFmtId="169" fontId="4" fillId="11" borderId="4" xfId="0" applyFont="true" applyBorder="true" applyAlignment="true" applyProtection="false">
      <alignment horizontal="center" vertical="top" textRotation="0" wrapText="true" indent="0" shrinkToFit="false"/>
      <protection locked="true" hidden="false"/>
    </xf>
    <xf numFmtId="164" fontId="4" fillId="11" borderId="4" xfId="0" applyFont="true" applyBorder="true" applyAlignment="true" applyProtection="false">
      <alignment horizontal="left" vertical="top" textRotation="0" wrapText="true" indent="0" shrinkToFit="false"/>
      <protection locked="true" hidden="false"/>
    </xf>
    <xf numFmtId="164" fontId="4" fillId="11" borderId="4" xfId="0" applyFont="true" applyBorder="true" applyAlignment="true" applyProtection="false">
      <alignment horizontal="general" vertical="top" textRotation="0" wrapText="true" indent="1" shrinkToFit="false"/>
      <protection locked="true" hidden="false"/>
    </xf>
    <xf numFmtId="164" fontId="4" fillId="11" borderId="4" xfId="0" applyFont="true" applyBorder="true" applyAlignment="true" applyProtection="false">
      <alignment horizontal="center" vertical="top" textRotation="0" wrapText="true" indent="0" shrinkToFit="false"/>
      <protection locked="true" hidden="false"/>
    </xf>
    <xf numFmtId="164" fontId="8" fillId="11" borderId="2" xfId="0" applyFont="true" applyBorder="true" applyAlignment="true" applyProtection="false">
      <alignment horizontal="left" vertical="top" textRotation="0" wrapText="true" indent="0" shrinkToFit="false"/>
      <protection locked="true" hidden="false"/>
    </xf>
    <xf numFmtId="164" fontId="10" fillId="11" borderId="2" xfId="0" applyFont="true" applyBorder="true" applyAlignment="true" applyProtection="false">
      <alignment horizontal="center" vertical="top" textRotation="0" wrapText="true" indent="0" shrinkToFit="false"/>
      <protection locked="true" hidden="false"/>
    </xf>
    <xf numFmtId="169" fontId="4" fillId="11" borderId="2" xfId="0" applyFont="true" applyBorder="true" applyAlignment="true" applyProtection="false">
      <alignment horizontal="center" vertical="top" textRotation="0" wrapText="true" indent="0" shrinkToFit="false"/>
      <protection locked="true" hidden="false"/>
    </xf>
    <xf numFmtId="164" fontId="4" fillId="11" borderId="2" xfId="0" applyFont="true" applyBorder="true" applyAlignment="true" applyProtection="false">
      <alignment horizontal="left" vertical="top" textRotation="0" wrapText="true" indent="0" shrinkToFit="false"/>
      <protection locked="true" hidden="false"/>
    </xf>
    <xf numFmtId="164" fontId="4" fillId="11" borderId="2" xfId="0" applyFont="true" applyBorder="true" applyAlignment="true" applyProtection="false">
      <alignment horizontal="general" vertical="top" textRotation="0" wrapText="true" indent="1" shrinkToFit="false"/>
      <protection locked="true" hidden="false"/>
    </xf>
    <xf numFmtId="164" fontId="4" fillId="11" borderId="2" xfId="0" applyFont="true" applyBorder="true" applyAlignment="true" applyProtection="false">
      <alignment horizontal="center" vertical="top" textRotation="0" wrapText="true" indent="0" shrinkToFit="false"/>
      <protection locked="true" hidden="false"/>
    </xf>
    <xf numFmtId="164" fontId="8" fillId="10" borderId="4" xfId="0" applyFont="true" applyBorder="true" applyAlignment="true" applyProtection="false">
      <alignment horizontal="left" vertical="top" textRotation="0" wrapText="true" indent="0" shrinkToFit="false"/>
      <protection locked="true" hidden="false"/>
    </xf>
    <xf numFmtId="164" fontId="10" fillId="10" borderId="4" xfId="0" applyFont="true" applyBorder="true" applyAlignment="true" applyProtection="false">
      <alignment horizontal="center" vertical="top" textRotation="0" wrapText="true" indent="0" shrinkToFit="false"/>
      <protection locked="true" hidden="false"/>
    </xf>
    <xf numFmtId="169" fontId="4" fillId="10" borderId="4" xfId="0" applyFont="true" applyBorder="true" applyAlignment="true" applyProtection="false">
      <alignment horizontal="center" vertical="top" textRotation="0" wrapText="true" indent="0" shrinkToFit="false"/>
      <protection locked="true" hidden="false"/>
    </xf>
    <xf numFmtId="164" fontId="4" fillId="10" borderId="4" xfId="0" applyFont="true" applyBorder="true" applyAlignment="true" applyProtection="false">
      <alignment horizontal="left" vertical="top" textRotation="0" wrapText="true" indent="0" shrinkToFit="false"/>
      <protection locked="true" hidden="false"/>
    </xf>
    <xf numFmtId="164" fontId="4" fillId="10" borderId="4" xfId="0" applyFont="true" applyBorder="true" applyAlignment="true" applyProtection="false">
      <alignment horizontal="general" vertical="top" textRotation="0" wrapText="true" indent="1" shrinkToFit="false"/>
      <protection locked="true" hidden="false"/>
    </xf>
    <xf numFmtId="164" fontId="4" fillId="10" borderId="4" xfId="0" applyFont="true" applyBorder="true" applyAlignment="true" applyProtection="false">
      <alignment horizontal="center" vertical="top" textRotation="0" wrapText="true" indent="0" shrinkToFit="false"/>
      <protection locked="true" hidden="false"/>
    </xf>
    <xf numFmtId="164" fontId="8" fillId="3" borderId="2" xfId="0" applyFont="true" applyBorder="true" applyAlignment="true" applyProtection="false">
      <alignment horizontal="left" vertical="center" textRotation="0" wrapText="true" indent="0" shrinkToFit="false"/>
      <protection locked="true" hidden="false"/>
    </xf>
    <xf numFmtId="164" fontId="4" fillId="0" borderId="2" xfId="0" applyFont="true" applyBorder="true" applyAlignment="true" applyProtection="false">
      <alignment horizontal="left" vertical="top" textRotation="0" wrapText="true" indent="0" shrinkToFit="false"/>
      <protection locked="true" hidden="false"/>
    </xf>
    <xf numFmtId="170" fontId="4" fillId="0" borderId="2" xfId="0" applyFont="true" applyBorder="true" applyAlignment="true" applyProtection="false">
      <alignment horizontal="left" vertical="top" textRotation="0" wrapText="true" indent="0" shrinkToFit="false"/>
      <protection locked="true" hidden="false"/>
    </xf>
    <xf numFmtId="164" fontId="11" fillId="0" borderId="2" xfId="0" applyFont="true" applyBorder="true" applyAlignment="true" applyProtection="false">
      <alignment horizontal="left" vertical="top"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3">
    <dxf>
      <fill>
        <patternFill patternType="solid">
          <fgColor rgb="FFF7F9FC"/>
          <bgColor rgb="FF000000"/>
        </patternFill>
      </fill>
    </dxf>
    <dxf>
      <fill>
        <patternFill patternType="solid">
          <fgColor rgb="FFFFF2CC"/>
          <bgColor rgb="FF000000"/>
        </patternFill>
      </fill>
    </dxf>
    <dxf>
      <fill>
        <patternFill patternType="solid">
          <fgColor rgb="FFFFFFFF"/>
          <bgColor rgb="FF000000"/>
        </patternFill>
      </fill>
    </dxf>
    <dxf>
      <fill>
        <patternFill patternType="solid">
          <bgColor rgb="FF000000"/>
        </patternFill>
      </fill>
    </dxf>
    <dxf>
      <fill>
        <patternFill patternType="solid">
          <fgColor rgb="FF0000FF"/>
          <bgColor rgb="FF000000"/>
        </patternFill>
      </fill>
    </dxf>
    <dxf>
      <fill>
        <patternFill patternType="solid">
          <fgColor rgb="FFD9EAD3"/>
          <bgColor rgb="FF000000"/>
        </patternFill>
      </fill>
    </dxf>
    <dxf>
      <fill>
        <patternFill patternType="solid">
          <fgColor rgb="FFDDEBF7"/>
          <bgColor rgb="FF000000"/>
        </patternFill>
      </fill>
    </dxf>
    <dxf>
      <fill>
        <patternFill patternType="solid">
          <fgColor rgb="FFFCE5CD"/>
          <bgColor rgb="FF000000"/>
        </patternFill>
      </fill>
    </dxf>
    <dxf>
      <font>
        <name val="Arial"/>
        <charset val="1"/>
        <family val="0"/>
        <b val="1"/>
        <sz val="10"/>
      </font>
      <fill>
        <patternFill>
          <bgColor rgb="FFD9EAD3"/>
        </patternFill>
      </fill>
    </dxf>
    <dxf>
      <font>
        <name val="Arial"/>
        <charset val="1"/>
        <family val="0"/>
        <b val="1"/>
        <sz val="10"/>
      </font>
      <fill>
        <patternFill>
          <bgColor rgb="FFFCE5CD"/>
        </patternFill>
      </fill>
    </dxf>
    <dxf>
      <font>
        <name val="Arial"/>
        <charset val="1"/>
        <family val="0"/>
        <b val="1"/>
        <sz val="10"/>
      </font>
      <fill>
        <patternFill>
          <bgColor rgb="FFDDEBF7"/>
        </patternFill>
      </fill>
    </dxf>
    <dxf>
      <font>
        <name val="Arial"/>
        <charset val="1"/>
        <family val="0"/>
        <b val="1"/>
        <sz val="10"/>
      </font>
      <fill>
        <patternFill>
          <bgColor rgb="FFEAD1F5"/>
        </patternFill>
      </fill>
    </dxf>
    <dxf>
      <font>
        <name val="Arial"/>
        <charset val="1"/>
        <family val="0"/>
        <b val="1"/>
        <sz val="10"/>
      </font>
      <fill>
        <patternFill>
          <bgColor rgb="FFB6D7A8"/>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6D7A8"/>
      <rgbColor rgb="FF7F7F7F"/>
      <rgbColor rgb="FF9999FF"/>
      <rgbColor rgb="FF993366"/>
      <rgbColor rgb="FFFFF2CC"/>
      <rgbColor rgb="FFDDEBF7"/>
      <rgbColor rgb="FF660066"/>
      <rgbColor rgb="FFFF8080"/>
      <rgbColor rgb="FF0066CC"/>
      <rgbColor rgb="FFEAD1F5"/>
      <rgbColor rgb="FF000080"/>
      <rgbColor rgb="FFFF00FF"/>
      <rgbColor rgb="FFFFFF00"/>
      <rgbColor rgb="FF00FFFF"/>
      <rgbColor rgb="FF800080"/>
      <rgbColor rgb="FF800000"/>
      <rgbColor rgb="FF008080"/>
      <rgbColor rgb="FF0000FF"/>
      <rgbColor rgb="FF00CCFF"/>
      <rgbColor rgb="FFF2F2F2"/>
      <rgbColor rgb="FFD9EAD3"/>
      <rgbColor rgb="FFF7F9FC"/>
      <rgbColor rgb="FFD9D9D9"/>
      <rgbColor rgb="FFFF99CC"/>
      <rgbColor rgb="FFCC99FF"/>
      <rgbColor rgb="FFFCE5CD"/>
      <rgbColor rgb="FF3366FF"/>
      <rgbColor rgb="FF33CCCC"/>
      <rgbColor rgb="FF99CC00"/>
      <rgbColor rgb="FFF1C232"/>
      <rgbColor rgb="FFBF9000"/>
      <rgbColor rgb="FFFF6600"/>
      <rgbColor rgb="FF666699"/>
      <rgbColor rgb="FF969696"/>
      <rgbColor rgb="FF1F3864"/>
      <rgbColor rgb="FF6AA84F"/>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true"/>
  </sheetPr>
  <dimension ref="A1:F4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4"/>
    <col collapsed="false" customWidth="true" hidden="false" outlineLevel="0" max="6" min="3" style="0" width="18"/>
  </cols>
  <sheetData>
    <row r="1" customFormat="false" ht="15" hidden="false" customHeight="false" outlineLevel="0" collapsed="false">
      <c r="A1" s="1"/>
      <c r="B1" s="1"/>
      <c r="C1" s="1"/>
      <c r="D1" s="1"/>
      <c r="E1" s="1"/>
      <c r="F1" s="1"/>
    </row>
    <row r="2" customFormat="false" ht="33.75" hidden="false" customHeight="true" outlineLevel="0" collapsed="false">
      <c r="A2" s="1"/>
      <c r="B2" s="2" t="s">
        <v>0</v>
      </c>
      <c r="C2" s="2"/>
      <c r="D2" s="2"/>
      <c r="E2" s="2"/>
      <c r="F2" s="2"/>
    </row>
    <row r="3" customFormat="false" ht="27.75" hidden="false" customHeight="true" outlineLevel="0" collapsed="false">
      <c r="A3" s="1"/>
      <c r="B3" s="3" t="s">
        <v>1</v>
      </c>
      <c r="C3" s="3"/>
      <c r="D3" s="3"/>
      <c r="E3" s="3"/>
      <c r="F3" s="3"/>
    </row>
    <row r="4" customFormat="false" ht="15" hidden="false" customHeight="false" outlineLevel="0" collapsed="false">
      <c r="A4" s="1"/>
      <c r="B4" s="1"/>
      <c r="C4" s="1"/>
      <c r="D4" s="1"/>
      <c r="E4" s="1"/>
      <c r="F4" s="1"/>
    </row>
    <row r="5" customFormat="false" ht="21.75" hidden="false" customHeight="true" outlineLevel="0" collapsed="false">
      <c r="A5" s="1"/>
      <c r="B5" s="4" t="s">
        <v>2</v>
      </c>
      <c r="C5" s="4"/>
      <c r="D5" s="4"/>
      <c r="E5" s="4"/>
      <c r="F5" s="4"/>
    </row>
    <row r="6" customFormat="false" ht="19.5" hidden="false" customHeight="true" outlineLevel="0" collapsed="false">
      <c r="A6" s="1"/>
      <c r="B6" s="5" t="s">
        <v>3</v>
      </c>
      <c r="C6" s="5" t="s">
        <v>4</v>
      </c>
      <c r="D6" s="5"/>
      <c r="E6" s="5"/>
      <c r="F6" s="5"/>
    </row>
    <row r="7" customFormat="false" ht="15" hidden="false" customHeight="false" outlineLevel="0" collapsed="false">
      <c r="A7" s="1"/>
      <c r="B7" s="6" t="s">
        <v>5</v>
      </c>
      <c r="C7" s="7" t="s">
        <v>6</v>
      </c>
      <c r="D7" s="7"/>
      <c r="E7" s="7"/>
      <c r="F7" s="7"/>
    </row>
    <row r="8" customFormat="false" ht="15" hidden="false" customHeight="false" outlineLevel="0" collapsed="false">
      <c r="A8" s="1"/>
      <c r="B8" s="6" t="s">
        <v>7</v>
      </c>
      <c r="C8" s="7" t="s">
        <v>8</v>
      </c>
      <c r="D8" s="7"/>
      <c r="E8" s="7"/>
      <c r="F8" s="7"/>
    </row>
    <row r="9" customFormat="false" ht="15" hidden="false" customHeight="false" outlineLevel="0" collapsed="false">
      <c r="A9" s="1"/>
      <c r="B9" s="6" t="s">
        <v>9</v>
      </c>
      <c r="C9" s="7" t="s">
        <v>10</v>
      </c>
      <c r="D9" s="7"/>
      <c r="E9" s="7"/>
      <c r="F9" s="7"/>
    </row>
    <row r="10" customFormat="false" ht="15" hidden="false" customHeight="false" outlineLevel="0" collapsed="false">
      <c r="A10" s="1"/>
      <c r="B10" s="1"/>
      <c r="C10" s="1"/>
      <c r="D10" s="1"/>
      <c r="E10" s="1"/>
      <c r="F10" s="1"/>
    </row>
    <row r="11" customFormat="false" ht="21.75" hidden="false" customHeight="true" outlineLevel="0" collapsed="false">
      <c r="A11" s="1"/>
      <c r="B11" s="4" t="s">
        <v>11</v>
      </c>
      <c r="C11" s="4"/>
      <c r="D11" s="4"/>
      <c r="E11" s="4"/>
      <c r="F11" s="4"/>
    </row>
    <row r="12" customFormat="false" ht="19.5" hidden="false" customHeight="true" outlineLevel="0" collapsed="false">
      <c r="A12" s="1"/>
      <c r="B12" s="5" t="s">
        <v>12</v>
      </c>
      <c r="C12" s="8" t="s">
        <v>13</v>
      </c>
      <c r="D12" s="8" t="s">
        <v>14</v>
      </c>
      <c r="E12" s="8" t="s">
        <v>15</v>
      </c>
      <c r="F12" s="8" t="s">
        <v>16</v>
      </c>
    </row>
    <row r="13" customFormat="false" ht="15" hidden="false" customHeight="false" outlineLevel="0" collapsed="false">
      <c r="A13" s="1"/>
      <c r="B13" s="9" t="s">
        <v>17</v>
      </c>
      <c r="C13" s="10" t="n">
        <v>0.3</v>
      </c>
      <c r="D13" s="11" t="n">
        <f aca="false">COUNTIF(Jon!$F:$F,B13)</f>
        <v>9</v>
      </c>
      <c r="E13" s="12" t="n">
        <f aca="false">IF($D$18=0,0,D13/$D$18)</f>
        <v>0.346153846153846</v>
      </c>
      <c r="F13" s="12" t="n">
        <f aca="false">E13-C13</f>
        <v>0.0461538461538462</v>
      </c>
    </row>
    <row r="14" customFormat="false" ht="15" hidden="false" customHeight="false" outlineLevel="0" collapsed="false">
      <c r="A14" s="1"/>
      <c r="B14" s="9" t="s">
        <v>18</v>
      </c>
      <c r="C14" s="10" t="n">
        <v>0.2</v>
      </c>
      <c r="D14" s="11" t="n">
        <f aca="false">COUNTIF(Jon!$F:$F,B14)</f>
        <v>5</v>
      </c>
      <c r="E14" s="12" t="n">
        <f aca="false">IF($D$18=0,0,D14/$D$18)</f>
        <v>0.192307692307692</v>
      </c>
      <c r="F14" s="12" t="n">
        <f aca="false">E14-C14</f>
        <v>-0.00769230769230769</v>
      </c>
    </row>
    <row r="15" customFormat="false" ht="15" hidden="false" customHeight="false" outlineLevel="0" collapsed="false">
      <c r="A15" s="1"/>
      <c r="B15" s="9" t="s">
        <v>19</v>
      </c>
      <c r="C15" s="10" t="n">
        <v>0.2</v>
      </c>
      <c r="D15" s="11" t="n">
        <f aca="false">COUNTIF(Jon!$F:$F,B15)</f>
        <v>5</v>
      </c>
      <c r="E15" s="12" t="n">
        <f aca="false">IF($D$18=0,0,D15/$D$18)</f>
        <v>0.192307692307692</v>
      </c>
      <c r="F15" s="12" t="n">
        <f aca="false">E15-C15</f>
        <v>-0.00769230769230769</v>
      </c>
    </row>
    <row r="16" customFormat="false" ht="15" hidden="false" customHeight="false" outlineLevel="0" collapsed="false">
      <c r="A16" s="1"/>
      <c r="B16" s="9" t="s">
        <v>20</v>
      </c>
      <c r="C16" s="10" t="n">
        <v>0.15</v>
      </c>
      <c r="D16" s="11" t="n">
        <f aca="false">COUNTIF(Jon!$F:$F,B16)</f>
        <v>4</v>
      </c>
      <c r="E16" s="12" t="n">
        <f aca="false">IF($D$18=0,0,D16/$D$18)</f>
        <v>0.153846153846154</v>
      </c>
      <c r="F16" s="12" t="n">
        <f aca="false">E16-C16</f>
        <v>0.00384615384615386</v>
      </c>
    </row>
    <row r="17" customFormat="false" ht="15" hidden="false" customHeight="false" outlineLevel="0" collapsed="false">
      <c r="A17" s="1"/>
      <c r="B17" s="9" t="s">
        <v>21</v>
      </c>
      <c r="C17" s="10" t="n">
        <v>0.15</v>
      </c>
      <c r="D17" s="11" t="n">
        <f aca="false">COUNTIF(Jon!$F:$F,B17)</f>
        <v>3</v>
      </c>
      <c r="E17" s="12" t="n">
        <f aca="false">IF($D$18=0,0,D17/$D$18)</f>
        <v>0.115384615384615</v>
      </c>
      <c r="F17" s="12" t="n">
        <f aca="false">E17-C17</f>
        <v>-0.0346153846153846</v>
      </c>
    </row>
    <row r="18" customFormat="false" ht="15" hidden="false" customHeight="false" outlineLevel="0" collapsed="false">
      <c r="A18" s="1"/>
      <c r="B18" s="13" t="s">
        <v>22</v>
      </c>
      <c r="C18" s="14" t="n">
        <f aca="false">SUM(C13:C17)</f>
        <v>1</v>
      </c>
      <c r="D18" s="15" t="n">
        <f aca="false">SUM(D13:D17)</f>
        <v>26</v>
      </c>
      <c r="E18" s="15"/>
      <c r="F18" s="15"/>
    </row>
    <row r="19" customFormat="false" ht="15" hidden="false" customHeight="false" outlineLevel="0" collapsed="false">
      <c r="A19" s="1"/>
      <c r="B19" s="16" t="s">
        <v>23</v>
      </c>
      <c r="C19" s="1"/>
      <c r="D19" s="1"/>
      <c r="E19" s="1"/>
      <c r="F19" s="1"/>
    </row>
    <row r="20" customFormat="false" ht="15" hidden="false" customHeight="false" outlineLevel="0" collapsed="false">
      <c r="A20" s="1"/>
      <c r="B20" s="1"/>
      <c r="C20" s="1"/>
      <c r="D20" s="1"/>
      <c r="E20" s="1"/>
      <c r="F20" s="1"/>
    </row>
    <row r="21" customFormat="false" ht="21.75" hidden="false" customHeight="true" outlineLevel="0" collapsed="false">
      <c r="A21" s="1"/>
      <c r="B21" s="4" t="s">
        <v>24</v>
      </c>
      <c r="C21" s="4"/>
      <c r="D21" s="4"/>
      <c r="E21" s="4"/>
      <c r="F21" s="4"/>
    </row>
    <row r="22" customFormat="false" ht="19.5" hidden="false" customHeight="true" outlineLevel="0" collapsed="false">
      <c r="A22" s="1"/>
      <c r="B22" s="5" t="s">
        <v>25</v>
      </c>
      <c r="C22" s="8" t="s">
        <v>26</v>
      </c>
      <c r="D22" s="8" t="s">
        <v>27</v>
      </c>
      <c r="E22" s="8" t="s">
        <v>28</v>
      </c>
      <c r="F22" s="8" t="s">
        <v>22</v>
      </c>
    </row>
    <row r="23" customFormat="false" ht="15" hidden="false" customHeight="false" outlineLevel="0" collapsed="false">
      <c r="A23" s="1"/>
      <c r="B23" s="9" t="s">
        <v>29</v>
      </c>
      <c r="C23" s="17" t="n">
        <f aca="false">COUNTIFS(Jon!$I:$I,$B23,Jon!$C:$C,"&gt;="&amp;DATE(2026,10,1),Jon!$C:$C,"&lt;="&amp;DATE(2026,10,31))</f>
        <v>0</v>
      </c>
      <c r="D23" s="17" t="n">
        <f aca="false">COUNTIFS(Jon!$I:$I,$B23,Jon!$C:$C,"&gt;="&amp;DATE(2026,11,1),Jon!$C:$C,"&lt;="&amp;DATE(2026,11,30))</f>
        <v>0</v>
      </c>
      <c r="E23" s="17" t="n">
        <f aca="false">COUNTIFS(Jon!$I:$I,$B23,Jon!$C:$C,"&gt;="&amp;DATE(2026,12,1),Jon!$C:$C,"&lt;="&amp;DATE(2026,12,31))</f>
        <v>0</v>
      </c>
      <c r="F23" s="17" t="n">
        <f aca="false">SUM(C23:E23)</f>
        <v>0</v>
      </c>
    </row>
    <row r="24" customFormat="false" ht="15" hidden="false" customHeight="false" outlineLevel="0" collapsed="false">
      <c r="A24" s="1"/>
      <c r="B24" s="18" t="s">
        <v>30</v>
      </c>
      <c r="C24" s="17" t="n">
        <f aca="false">COUNTIFS(Jon!$I:$I,$B24,Jon!$C:$C,"&gt;="&amp;DATE(2026,10,1),Jon!$C:$C,"&lt;="&amp;DATE(2026,10,31))</f>
        <v>0</v>
      </c>
      <c r="D24" s="17" t="n">
        <f aca="false">COUNTIFS(Jon!$I:$I,$B24,Jon!$C:$C,"&gt;="&amp;DATE(2026,11,1),Jon!$C:$C,"&lt;="&amp;DATE(2026,11,30))</f>
        <v>8</v>
      </c>
      <c r="E24" s="17" t="n">
        <f aca="false">COUNTIFS(Jon!$I:$I,$B24,Jon!$C:$C,"&gt;="&amp;DATE(2026,12,1),Jon!$C:$C,"&lt;="&amp;DATE(2026,12,31))</f>
        <v>9</v>
      </c>
      <c r="F24" s="17" t="n">
        <f aca="false">SUM(C24:E24)</f>
        <v>17</v>
      </c>
    </row>
    <row r="25" customFormat="false" ht="15" hidden="false" customHeight="false" outlineLevel="0" collapsed="false">
      <c r="A25" s="1"/>
      <c r="B25" s="19" t="s">
        <v>31</v>
      </c>
      <c r="C25" s="17" t="n">
        <f aca="false">COUNTIFS(Jon!$I:$I,$B25,Jon!$C:$C,"&gt;="&amp;DATE(2026,10,1),Jon!$C:$C,"&lt;="&amp;DATE(2026,10,31))</f>
        <v>0</v>
      </c>
      <c r="D25" s="17" t="n">
        <f aca="false">COUNTIFS(Jon!$I:$I,$B25,Jon!$C:$C,"&gt;="&amp;DATE(2026,11,1),Jon!$C:$C,"&lt;="&amp;DATE(2026,11,30))</f>
        <v>0</v>
      </c>
      <c r="E25" s="17" t="n">
        <f aca="false">COUNTIFS(Jon!$I:$I,$B25,Jon!$C:$C,"&gt;="&amp;DATE(2026,12,1),Jon!$C:$C,"&lt;="&amp;DATE(2026,12,31))</f>
        <v>0</v>
      </c>
      <c r="F25" s="17" t="n">
        <f aca="false">SUM(C25:E25)</f>
        <v>0</v>
      </c>
    </row>
    <row r="26" customFormat="false" ht="15" hidden="false" customHeight="false" outlineLevel="0" collapsed="false">
      <c r="A26" s="1"/>
      <c r="B26" s="20" t="s">
        <v>32</v>
      </c>
      <c r="C26" s="17" t="n">
        <f aca="false">COUNTIFS(Jon!$I:$I,$B26,Jon!$C:$C,"&gt;="&amp;DATE(2026,10,1),Jon!$C:$C,"&lt;="&amp;DATE(2026,10,31))</f>
        <v>4</v>
      </c>
      <c r="D26" s="17" t="n">
        <f aca="false">COUNTIFS(Jon!$I:$I,$B26,Jon!$C:$C,"&gt;="&amp;DATE(2026,11,1),Jon!$C:$C,"&lt;="&amp;DATE(2026,11,30))</f>
        <v>0</v>
      </c>
      <c r="E26" s="17" t="n">
        <f aca="false">COUNTIFS(Jon!$I:$I,$B26,Jon!$C:$C,"&gt;="&amp;DATE(2026,12,1),Jon!$C:$C,"&lt;="&amp;DATE(2026,12,31))</f>
        <v>0</v>
      </c>
      <c r="F26" s="17" t="n">
        <f aca="false">SUM(C26:E26)</f>
        <v>4</v>
      </c>
    </row>
    <row r="27" customFormat="false" ht="15" hidden="false" customHeight="false" outlineLevel="0" collapsed="false">
      <c r="A27" s="1"/>
      <c r="B27" s="21" t="s">
        <v>33</v>
      </c>
      <c r="C27" s="17" t="n">
        <f aca="false">COUNTIFS(Jon!$I:$I,$B27,Jon!$C:$C,"&gt;="&amp;DATE(2026,10,1),Jon!$C:$C,"&lt;="&amp;DATE(2026,10,31))</f>
        <v>5</v>
      </c>
      <c r="D27" s="17" t="n">
        <f aca="false">COUNTIFS(Jon!$I:$I,$B27,Jon!$C:$C,"&gt;="&amp;DATE(2026,11,1),Jon!$C:$C,"&lt;="&amp;DATE(2026,11,30))</f>
        <v>0</v>
      </c>
      <c r="E27" s="17" t="n">
        <f aca="false">COUNTIFS(Jon!$I:$I,$B27,Jon!$C:$C,"&gt;="&amp;DATE(2026,12,1),Jon!$C:$C,"&lt;="&amp;DATE(2026,12,31))</f>
        <v>0</v>
      </c>
      <c r="F27" s="17" t="n">
        <f aca="false">SUM(C27:E27)</f>
        <v>5</v>
      </c>
    </row>
    <row r="28" customFormat="false" ht="15" hidden="false" customHeight="false" outlineLevel="0" collapsed="false">
      <c r="A28" s="1"/>
      <c r="B28" s="22" t="s">
        <v>34</v>
      </c>
      <c r="C28" s="17" t="n">
        <f aca="false">COUNTIFS(Jon!$I:$I,$B28,Jon!$C:$C,"&gt;="&amp;DATE(2026,10,1),Jon!$C:$C,"&lt;="&amp;DATE(2026,10,31))</f>
        <v>0</v>
      </c>
      <c r="D28" s="17" t="n">
        <f aca="false">COUNTIFS(Jon!$I:$I,$B28,Jon!$C:$C,"&gt;="&amp;DATE(2026,11,1),Jon!$C:$C,"&lt;="&amp;DATE(2026,11,30))</f>
        <v>0</v>
      </c>
      <c r="E28" s="17" t="n">
        <f aca="false">COUNTIFS(Jon!$I:$I,$B28,Jon!$C:$C,"&gt;="&amp;DATE(2026,12,1),Jon!$C:$C,"&lt;="&amp;DATE(2026,12,31))</f>
        <v>0</v>
      </c>
      <c r="F28" s="17" t="n">
        <f aca="false">SUM(C28:E28)</f>
        <v>0</v>
      </c>
    </row>
    <row r="29" customFormat="false" ht="15" hidden="false" customHeight="false" outlineLevel="0" collapsed="false">
      <c r="A29" s="1"/>
      <c r="B29" s="13" t="s">
        <v>22</v>
      </c>
      <c r="C29" s="15" t="n">
        <f aca="false">SUM(C23:C28)</f>
        <v>9</v>
      </c>
      <c r="D29" s="15" t="n">
        <f aca="false">SUM(D23:D28)</f>
        <v>8</v>
      </c>
      <c r="E29" s="15" t="n">
        <f aca="false">SUM(E23:E28)</f>
        <v>9</v>
      </c>
      <c r="F29" s="15" t="n">
        <f aca="false">SUM(F23:F28)</f>
        <v>26</v>
      </c>
    </row>
    <row r="30" customFormat="false" ht="15" hidden="false" customHeight="false" outlineLevel="0" collapsed="false">
      <c r="A30" s="1"/>
      <c r="B30" s="1"/>
      <c r="C30" s="1"/>
      <c r="D30" s="1"/>
      <c r="E30" s="1"/>
      <c r="F30" s="1"/>
    </row>
    <row r="31" customFormat="false" ht="15" hidden="false" customHeight="false" outlineLevel="0" collapsed="false">
      <c r="A31" s="1"/>
      <c r="B31" s="1"/>
      <c r="C31" s="1"/>
      <c r="D31" s="1"/>
      <c r="E31" s="1"/>
      <c r="F31" s="1"/>
    </row>
    <row r="32" customFormat="false" ht="21.75" hidden="false" customHeight="true" outlineLevel="0" collapsed="false">
      <c r="A32" s="1"/>
      <c r="B32" s="4" t="s">
        <v>35</v>
      </c>
      <c r="C32" s="4"/>
      <c r="D32" s="4"/>
      <c r="E32" s="4"/>
      <c r="F32" s="4"/>
    </row>
    <row r="33" customFormat="false" ht="19.5" hidden="false" customHeight="true" outlineLevel="0" collapsed="false">
      <c r="A33" s="1"/>
      <c r="B33" s="5" t="s">
        <v>36</v>
      </c>
      <c r="C33" s="5" t="s">
        <v>37</v>
      </c>
      <c r="D33" s="5" t="s">
        <v>38</v>
      </c>
      <c r="E33" s="5"/>
      <c r="F33" s="5"/>
    </row>
    <row r="34" customFormat="false" ht="15" hidden="false" customHeight="false" outlineLevel="0" collapsed="false">
      <c r="A34" s="1"/>
      <c r="B34" s="9" t="s">
        <v>39</v>
      </c>
      <c r="C34" s="11" t="s">
        <v>40</v>
      </c>
      <c r="D34" s="23" t="s">
        <v>41</v>
      </c>
      <c r="E34" s="23"/>
      <c r="F34" s="23"/>
    </row>
    <row r="35" customFormat="false" ht="15" hidden="false" customHeight="false" outlineLevel="0" collapsed="false">
      <c r="A35" s="1"/>
      <c r="B35" s="9" t="s">
        <v>42</v>
      </c>
      <c r="C35" s="11" t="s">
        <v>43</v>
      </c>
      <c r="D35" s="23" t="s">
        <v>41</v>
      </c>
      <c r="E35" s="23"/>
      <c r="F35" s="23"/>
    </row>
    <row r="36" customFormat="false" ht="15" hidden="false" customHeight="false" outlineLevel="0" collapsed="false">
      <c r="A36" s="1"/>
      <c r="B36" s="9" t="s">
        <v>44</v>
      </c>
      <c r="C36" s="11" t="s">
        <v>45</v>
      </c>
      <c r="D36" s="23" t="s">
        <v>46</v>
      </c>
      <c r="E36" s="23"/>
      <c r="F36" s="23"/>
    </row>
    <row r="37" customFormat="false" ht="15" hidden="false" customHeight="false" outlineLevel="0" collapsed="false">
      <c r="A37" s="1"/>
      <c r="B37" s="9" t="s">
        <v>47</v>
      </c>
      <c r="C37" s="11" t="s">
        <v>48</v>
      </c>
      <c r="D37" s="23" t="s">
        <v>49</v>
      </c>
      <c r="E37" s="23"/>
      <c r="F37" s="23"/>
    </row>
    <row r="38" customFormat="false" ht="15" hidden="false" customHeight="false" outlineLevel="0" collapsed="false">
      <c r="A38" s="1"/>
      <c r="B38" s="9" t="s">
        <v>50</v>
      </c>
      <c r="C38" s="11" t="s">
        <v>51</v>
      </c>
      <c r="D38" s="23" t="s">
        <v>52</v>
      </c>
      <c r="E38" s="23"/>
      <c r="F38" s="23"/>
    </row>
    <row r="39" customFormat="false" ht="15" hidden="false" customHeight="false" outlineLevel="0" collapsed="false">
      <c r="A39" s="1"/>
      <c r="B39" s="9" t="s">
        <v>53</v>
      </c>
      <c r="C39" s="11" t="s">
        <v>54</v>
      </c>
      <c r="D39" s="23" t="s">
        <v>55</v>
      </c>
      <c r="E39" s="23"/>
      <c r="F39" s="23"/>
    </row>
    <row r="40" customFormat="false" ht="15" hidden="false" customHeight="false" outlineLevel="0" collapsed="false">
      <c r="A40" s="1"/>
      <c r="B40" s="9" t="s">
        <v>56</v>
      </c>
      <c r="C40" s="11" t="s">
        <v>57</v>
      </c>
      <c r="D40" s="23" t="s">
        <v>58</v>
      </c>
      <c r="E40" s="23"/>
      <c r="F40" s="23"/>
    </row>
    <row r="41" customFormat="false" ht="15" hidden="false" customHeight="false" outlineLevel="0" collapsed="false">
      <c r="A41" s="1"/>
      <c r="B41" s="9" t="s">
        <v>59</v>
      </c>
      <c r="C41" s="11" t="s">
        <v>60</v>
      </c>
      <c r="D41" s="23" t="s">
        <v>61</v>
      </c>
      <c r="E41" s="23"/>
      <c r="F41" s="23"/>
    </row>
    <row r="42" customFormat="false" ht="15" hidden="false" customHeight="false" outlineLevel="0" collapsed="false">
      <c r="A42" s="1"/>
      <c r="B42" s="9" t="s">
        <v>62</v>
      </c>
      <c r="C42" s="11" t="s">
        <v>63</v>
      </c>
      <c r="D42" s="23" t="s">
        <v>64</v>
      </c>
      <c r="E42" s="23"/>
      <c r="F42" s="23"/>
    </row>
    <row r="43" customFormat="false" ht="15" hidden="false" customHeight="false" outlineLevel="0" collapsed="false">
      <c r="A43" s="1"/>
      <c r="B43" s="9" t="s">
        <v>65</v>
      </c>
      <c r="C43" s="11" t="s">
        <v>66</v>
      </c>
      <c r="D43" s="23" t="s">
        <v>67</v>
      </c>
      <c r="E43" s="23"/>
      <c r="F43" s="23"/>
    </row>
    <row r="44" customFormat="false" ht="15" hidden="false" customHeight="false" outlineLevel="0" collapsed="false">
      <c r="A44" s="1"/>
      <c r="B44" s="9" t="s">
        <v>68</v>
      </c>
      <c r="C44" s="11" t="s">
        <v>69</v>
      </c>
      <c r="D44" s="23" t="s">
        <v>70</v>
      </c>
      <c r="E44" s="23"/>
      <c r="F44" s="23"/>
    </row>
    <row r="45" customFormat="false" ht="15" hidden="false" customHeight="false" outlineLevel="0" collapsed="false">
      <c r="A45" s="1"/>
      <c r="B45" s="9" t="s">
        <v>71</v>
      </c>
      <c r="C45" s="11" t="s">
        <v>72</v>
      </c>
      <c r="D45" s="23" t="s">
        <v>73</v>
      </c>
      <c r="E45" s="23"/>
      <c r="F45" s="23"/>
    </row>
  </sheetData>
  <mergeCells count="23">
    <mergeCell ref="B2:F2"/>
    <mergeCell ref="B3:F3"/>
    <mergeCell ref="B5:F5"/>
    <mergeCell ref="C6:F6"/>
    <mergeCell ref="C7:F7"/>
    <mergeCell ref="C8:F8"/>
    <mergeCell ref="C9:F9"/>
    <mergeCell ref="B11:F11"/>
    <mergeCell ref="B21:F21"/>
    <mergeCell ref="B32:F32"/>
    <mergeCell ref="D33:F33"/>
    <mergeCell ref="D34:F34"/>
    <mergeCell ref="D35:F35"/>
    <mergeCell ref="D36:F36"/>
    <mergeCell ref="D37:F37"/>
    <mergeCell ref="D38:F38"/>
    <mergeCell ref="D39:F39"/>
    <mergeCell ref="D40:F40"/>
    <mergeCell ref="D41:F41"/>
    <mergeCell ref="D42:F42"/>
    <mergeCell ref="D43:F43"/>
    <mergeCell ref="D44:F44"/>
    <mergeCell ref="D45:F45"/>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1C232"/>
    <pageSetUpPr fitToPage="true"/>
  </sheetPr>
  <dimension ref="A1:J27"/>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1"/>
    <col collapsed="false" customWidth="true" hidden="false" outlineLevel="0" max="3" min="3" style="0" width="13"/>
    <col collapsed="false" customWidth="true" hidden="false" outlineLevel="0" max="4" min="4" style="0" width="18"/>
    <col collapsed="false" customWidth="true" hidden="false" outlineLevel="0" max="5" min="5" style="0" width="45"/>
    <col collapsed="false" customWidth="true" hidden="false" outlineLevel="0" max="7" min="6" style="0" width="18"/>
    <col collapsed="false" customWidth="true" hidden="false" outlineLevel="0" max="8" min="8" style="0" width="26"/>
    <col collapsed="false" customWidth="true" hidden="false" outlineLevel="0" max="9" min="9" style="0" width="13"/>
    <col collapsed="false" customWidth="true" hidden="false" outlineLevel="0" max="10" min="10" style="0" width="20"/>
  </cols>
  <sheetData>
    <row r="1" customFormat="false" ht="30" hidden="false" customHeight="true" outlineLevel="0" collapsed="false">
      <c r="A1" s="24" t="s">
        <v>74</v>
      </c>
      <c r="B1" s="25" t="s">
        <v>75</v>
      </c>
      <c r="C1" s="25" t="s">
        <v>37</v>
      </c>
      <c r="D1" s="24" t="s">
        <v>76</v>
      </c>
      <c r="E1" s="24" t="s">
        <v>77</v>
      </c>
      <c r="F1" s="24" t="s">
        <v>78</v>
      </c>
      <c r="G1" s="24" t="s">
        <v>79</v>
      </c>
      <c r="H1" s="24" t="s">
        <v>80</v>
      </c>
      <c r="I1" s="25" t="s">
        <v>25</v>
      </c>
      <c r="J1" s="24" t="s">
        <v>81</v>
      </c>
    </row>
    <row r="2" customFormat="false" ht="63.75" hidden="false" customHeight="true" outlineLevel="0" collapsed="false">
      <c r="A2" s="26" t="s">
        <v>82</v>
      </c>
      <c r="B2" s="27" t="s">
        <v>83</v>
      </c>
      <c r="C2" s="28" t="n">
        <v>46296</v>
      </c>
      <c r="D2" s="29" t="s">
        <v>84</v>
      </c>
      <c r="E2" s="30" t="s">
        <v>85</v>
      </c>
      <c r="F2" s="29" t="s">
        <v>17</v>
      </c>
      <c r="G2" s="29" t="s">
        <v>86</v>
      </c>
      <c r="H2" s="29" t="s">
        <v>87</v>
      </c>
      <c r="I2" s="31" t="s">
        <v>33</v>
      </c>
      <c r="J2" s="29" t="s">
        <v>88</v>
      </c>
    </row>
    <row r="3" customFormat="false" ht="63.75" hidden="false" customHeight="true" outlineLevel="0" collapsed="false">
      <c r="A3" s="26" t="s">
        <v>89</v>
      </c>
      <c r="B3" s="27" t="s">
        <v>83</v>
      </c>
      <c r="C3" s="28" t="n">
        <v>46301</v>
      </c>
      <c r="D3" s="29" t="s">
        <v>90</v>
      </c>
      <c r="E3" s="30" t="s">
        <v>91</v>
      </c>
      <c r="F3" s="29" t="s">
        <v>17</v>
      </c>
      <c r="G3" s="29"/>
      <c r="H3" s="29" t="s">
        <v>92</v>
      </c>
      <c r="I3" s="31" t="s">
        <v>33</v>
      </c>
      <c r="J3" s="29" t="s">
        <v>93</v>
      </c>
    </row>
    <row r="4" customFormat="false" ht="63.75" hidden="false" customHeight="true" outlineLevel="0" collapsed="false">
      <c r="A4" s="26" t="s">
        <v>94</v>
      </c>
      <c r="B4" s="27" t="s">
        <v>83</v>
      </c>
      <c r="C4" s="28" t="n">
        <v>46303</v>
      </c>
      <c r="D4" s="29" t="s">
        <v>84</v>
      </c>
      <c r="E4" s="30" t="s">
        <v>95</v>
      </c>
      <c r="F4" s="29" t="s">
        <v>20</v>
      </c>
      <c r="G4" s="29" t="s">
        <v>96</v>
      </c>
      <c r="H4" s="29" t="s">
        <v>87</v>
      </c>
      <c r="I4" s="31" t="s">
        <v>33</v>
      </c>
      <c r="J4" s="29" t="s">
        <v>97</v>
      </c>
    </row>
    <row r="5" customFormat="false" ht="63.75" hidden="false" customHeight="true" outlineLevel="0" collapsed="false">
      <c r="A5" s="26" t="s">
        <v>98</v>
      </c>
      <c r="B5" s="27" t="s">
        <v>83</v>
      </c>
      <c r="C5" s="28" t="n">
        <v>46308</v>
      </c>
      <c r="D5" s="29" t="s">
        <v>90</v>
      </c>
      <c r="E5" s="30" t="s">
        <v>99</v>
      </c>
      <c r="F5" s="29" t="s">
        <v>18</v>
      </c>
      <c r="G5" s="29"/>
      <c r="H5" s="29" t="s">
        <v>100</v>
      </c>
      <c r="I5" s="31" t="s">
        <v>33</v>
      </c>
      <c r="J5" s="29"/>
    </row>
    <row r="6" customFormat="false" ht="63.75" hidden="false" customHeight="true" outlineLevel="0" collapsed="false">
      <c r="A6" s="26" t="s">
        <v>101</v>
      </c>
      <c r="B6" s="27" t="s">
        <v>83</v>
      </c>
      <c r="C6" s="28" t="n">
        <v>46310</v>
      </c>
      <c r="D6" s="29" t="s">
        <v>84</v>
      </c>
      <c r="E6" s="30" t="s">
        <v>102</v>
      </c>
      <c r="F6" s="29" t="s">
        <v>18</v>
      </c>
      <c r="G6" s="29"/>
      <c r="H6" s="29" t="s">
        <v>87</v>
      </c>
      <c r="I6" s="31" t="s">
        <v>33</v>
      </c>
      <c r="J6" s="29" t="s">
        <v>103</v>
      </c>
    </row>
    <row r="7" customFormat="false" ht="63.75" hidden="false" customHeight="true" outlineLevel="0" collapsed="false">
      <c r="A7" s="26" t="s">
        <v>104</v>
      </c>
      <c r="B7" s="27" t="s">
        <v>83</v>
      </c>
      <c r="C7" s="28" t="n">
        <v>46315</v>
      </c>
      <c r="D7" s="29" t="s">
        <v>90</v>
      </c>
      <c r="E7" s="30" t="s">
        <v>105</v>
      </c>
      <c r="F7" s="29" t="s">
        <v>18</v>
      </c>
      <c r="G7" s="29"/>
      <c r="H7" s="29" t="s">
        <v>106</v>
      </c>
      <c r="I7" s="31" t="s">
        <v>32</v>
      </c>
      <c r="J7" s="29"/>
    </row>
    <row r="8" customFormat="false" ht="63.75" hidden="false" customHeight="true" outlineLevel="0" collapsed="false">
      <c r="A8" s="26" t="s">
        <v>107</v>
      </c>
      <c r="B8" s="27" t="s">
        <v>83</v>
      </c>
      <c r="C8" s="28" t="n">
        <v>46317</v>
      </c>
      <c r="D8" s="29" t="s">
        <v>84</v>
      </c>
      <c r="E8" s="30" t="s">
        <v>108</v>
      </c>
      <c r="F8" s="29" t="s">
        <v>18</v>
      </c>
      <c r="G8" s="29"/>
      <c r="H8" s="29" t="s">
        <v>87</v>
      </c>
      <c r="I8" s="31" t="s">
        <v>32</v>
      </c>
      <c r="J8" s="29" t="s">
        <v>109</v>
      </c>
    </row>
    <row r="9" customFormat="false" ht="63.75" hidden="false" customHeight="true" outlineLevel="0" collapsed="false">
      <c r="A9" s="26" t="s">
        <v>110</v>
      </c>
      <c r="B9" s="27" t="s">
        <v>83</v>
      </c>
      <c r="C9" s="28" t="n">
        <v>46322</v>
      </c>
      <c r="D9" s="29" t="s">
        <v>90</v>
      </c>
      <c r="E9" s="30" t="s">
        <v>111</v>
      </c>
      <c r="F9" s="29" t="s">
        <v>19</v>
      </c>
      <c r="G9" s="29" t="s">
        <v>112</v>
      </c>
      <c r="H9" s="29" t="s">
        <v>113</v>
      </c>
      <c r="I9" s="31" t="s">
        <v>32</v>
      </c>
      <c r="J9" s="29" t="s">
        <v>114</v>
      </c>
    </row>
    <row r="10" customFormat="false" ht="63.75" hidden="false" customHeight="true" outlineLevel="0" collapsed="false">
      <c r="A10" s="26" t="s">
        <v>115</v>
      </c>
      <c r="B10" s="27" t="s">
        <v>83</v>
      </c>
      <c r="C10" s="28" t="n">
        <v>46324</v>
      </c>
      <c r="D10" s="29" t="s">
        <v>84</v>
      </c>
      <c r="E10" s="30" t="s">
        <v>116</v>
      </c>
      <c r="F10" s="29" t="s">
        <v>20</v>
      </c>
      <c r="G10" s="29" t="s">
        <v>117</v>
      </c>
      <c r="H10" s="29" t="s">
        <v>87</v>
      </c>
      <c r="I10" s="31" t="s">
        <v>32</v>
      </c>
      <c r="J10" s="29"/>
    </row>
    <row r="11" customFormat="false" ht="63.75" hidden="false" customHeight="true" outlineLevel="0" collapsed="false">
      <c r="A11" s="32" t="s">
        <v>118</v>
      </c>
      <c r="B11" s="33" t="s">
        <v>83</v>
      </c>
      <c r="C11" s="34" t="n">
        <v>46329</v>
      </c>
      <c r="D11" s="35" t="s">
        <v>90</v>
      </c>
      <c r="E11" s="36" t="s">
        <v>119</v>
      </c>
      <c r="F11" s="35" t="s">
        <v>21</v>
      </c>
      <c r="G11" s="35" t="s">
        <v>120</v>
      </c>
      <c r="H11" s="35" t="s">
        <v>121</v>
      </c>
      <c r="I11" s="37" t="s">
        <v>30</v>
      </c>
      <c r="J11" s="35" t="s">
        <v>122</v>
      </c>
    </row>
    <row r="12" customFormat="false" ht="63.75" hidden="false" customHeight="true" outlineLevel="0" collapsed="false">
      <c r="A12" s="38" t="s">
        <v>123</v>
      </c>
      <c r="B12" s="39" t="s">
        <v>83</v>
      </c>
      <c r="C12" s="40" t="n">
        <v>46331</v>
      </c>
      <c r="D12" s="41" t="s">
        <v>84</v>
      </c>
      <c r="E12" s="42" t="s">
        <v>124</v>
      </c>
      <c r="F12" s="41" t="s">
        <v>19</v>
      </c>
      <c r="G12" s="41" t="s">
        <v>125</v>
      </c>
      <c r="H12" s="41" t="s">
        <v>87</v>
      </c>
      <c r="I12" s="43" t="s">
        <v>30</v>
      </c>
      <c r="J12" s="41"/>
    </row>
    <row r="13" customFormat="false" ht="63.75" hidden="false" customHeight="true" outlineLevel="0" collapsed="false">
      <c r="A13" s="38" t="s">
        <v>126</v>
      </c>
      <c r="B13" s="39" t="s">
        <v>83</v>
      </c>
      <c r="C13" s="40" t="n">
        <v>46336</v>
      </c>
      <c r="D13" s="41" t="s">
        <v>90</v>
      </c>
      <c r="E13" s="42" t="s">
        <v>127</v>
      </c>
      <c r="F13" s="41" t="s">
        <v>20</v>
      </c>
      <c r="G13" s="41" t="s">
        <v>128</v>
      </c>
      <c r="H13" s="41" t="s">
        <v>129</v>
      </c>
      <c r="I13" s="43" t="s">
        <v>30</v>
      </c>
      <c r="J13" s="41"/>
    </row>
    <row r="14" customFormat="false" ht="63.75" hidden="false" customHeight="true" outlineLevel="0" collapsed="false">
      <c r="A14" s="38" t="s">
        <v>130</v>
      </c>
      <c r="B14" s="39" t="s">
        <v>83</v>
      </c>
      <c r="C14" s="40" t="n">
        <v>46338</v>
      </c>
      <c r="D14" s="41" t="s">
        <v>84</v>
      </c>
      <c r="E14" s="42" t="s">
        <v>131</v>
      </c>
      <c r="F14" s="41" t="s">
        <v>19</v>
      </c>
      <c r="G14" s="41"/>
      <c r="H14" s="41" t="s">
        <v>87</v>
      </c>
      <c r="I14" s="43" t="s">
        <v>30</v>
      </c>
      <c r="J14" s="41" t="s">
        <v>132</v>
      </c>
    </row>
    <row r="15" customFormat="false" ht="63.75" hidden="false" customHeight="true" outlineLevel="0" collapsed="false">
      <c r="A15" s="38" t="s">
        <v>133</v>
      </c>
      <c r="B15" s="39" t="s">
        <v>83</v>
      </c>
      <c r="C15" s="40" t="n">
        <v>46343</v>
      </c>
      <c r="D15" s="41" t="s">
        <v>90</v>
      </c>
      <c r="E15" s="42" t="s">
        <v>134</v>
      </c>
      <c r="F15" s="41" t="s">
        <v>17</v>
      </c>
      <c r="G15" s="41" t="s">
        <v>135</v>
      </c>
      <c r="H15" s="41" t="s">
        <v>136</v>
      </c>
      <c r="I15" s="43" t="s">
        <v>30</v>
      </c>
      <c r="J15" s="41" t="s">
        <v>137</v>
      </c>
    </row>
    <row r="16" customFormat="false" ht="63.75" hidden="false" customHeight="true" outlineLevel="0" collapsed="false">
      <c r="A16" s="38" t="s">
        <v>138</v>
      </c>
      <c r="B16" s="39" t="s">
        <v>83</v>
      </c>
      <c r="C16" s="40" t="n">
        <v>46345</v>
      </c>
      <c r="D16" s="41" t="s">
        <v>84</v>
      </c>
      <c r="E16" s="42" t="s">
        <v>139</v>
      </c>
      <c r="F16" s="41" t="s">
        <v>17</v>
      </c>
      <c r="G16" s="41" t="s">
        <v>140</v>
      </c>
      <c r="H16" s="41" t="s">
        <v>87</v>
      </c>
      <c r="I16" s="43" t="s">
        <v>30</v>
      </c>
      <c r="J16" s="41" t="s">
        <v>141</v>
      </c>
    </row>
    <row r="17" customFormat="false" ht="63.75" hidden="false" customHeight="true" outlineLevel="0" collapsed="false">
      <c r="A17" s="38" t="s">
        <v>142</v>
      </c>
      <c r="B17" s="39" t="s">
        <v>83</v>
      </c>
      <c r="C17" s="40" t="n">
        <v>46350</v>
      </c>
      <c r="D17" s="41" t="s">
        <v>90</v>
      </c>
      <c r="E17" s="42" t="s">
        <v>143</v>
      </c>
      <c r="F17" s="41" t="s">
        <v>17</v>
      </c>
      <c r="G17" s="41" t="s">
        <v>144</v>
      </c>
      <c r="H17" s="41" t="s">
        <v>145</v>
      </c>
      <c r="I17" s="43" t="s">
        <v>30</v>
      </c>
      <c r="J17" s="41"/>
    </row>
    <row r="18" customFormat="false" ht="63.75" hidden="false" customHeight="true" outlineLevel="0" collapsed="false">
      <c r="A18" s="38" t="s">
        <v>146</v>
      </c>
      <c r="B18" s="39" t="s">
        <v>83</v>
      </c>
      <c r="C18" s="40" t="n">
        <v>46352</v>
      </c>
      <c r="D18" s="41" t="s">
        <v>84</v>
      </c>
      <c r="E18" s="42" t="s">
        <v>147</v>
      </c>
      <c r="F18" s="41" t="s">
        <v>17</v>
      </c>
      <c r="G18" s="41" t="s">
        <v>144</v>
      </c>
      <c r="H18" s="41" t="s">
        <v>87</v>
      </c>
      <c r="I18" s="43" t="s">
        <v>30</v>
      </c>
      <c r="J18" s="41"/>
    </row>
    <row r="19" customFormat="false" ht="63.75" hidden="false" customHeight="true" outlineLevel="0" collapsed="false">
      <c r="A19" s="44" t="s">
        <v>148</v>
      </c>
      <c r="B19" s="45" t="s">
        <v>83</v>
      </c>
      <c r="C19" s="46" t="n">
        <v>46357</v>
      </c>
      <c r="D19" s="47" t="s">
        <v>90</v>
      </c>
      <c r="E19" s="48" t="s">
        <v>149</v>
      </c>
      <c r="F19" s="47" t="s">
        <v>19</v>
      </c>
      <c r="G19" s="47" t="s">
        <v>65</v>
      </c>
      <c r="H19" s="47" t="s">
        <v>150</v>
      </c>
      <c r="I19" s="49" t="s">
        <v>30</v>
      </c>
      <c r="J19" s="47"/>
    </row>
    <row r="20" customFormat="false" ht="63.75" hidden="false" customHeight="true" outlineLevel="0" collapsed="false">
      <c r="A20" s="26" t="s">
        <v>151</v>
      </c>
      <c r="B20" s="27" t="s">
        <v>83</v>
      </c>
      <c r="C20" s="28" t="n">
        <v>46359</v>
      </c>
      <c r="D20" s="29" t="s">
        <v>84</v>
      </c>
      <c r="E20" s="30" t="s">
        <v>152</v>
      </c>
      <c r="F20" s="29" t="s">
        <v>18</v>
      </c>
      <c r="G20" s="29" t="s">
        <v>65</v>
      </c>
      <c r="H20" s="29" t="s">
        <v>87</v>
      </c>
      <c r="I20" s="31" t="s">
        <v>30</v>
      </c>
      <c r="J20" s="29"/>
    </row>
    <row r="21" customFormat="false" ht="63.75" hidden="false" customHeight="true" outlineLevel="0" collapsed="false">
      <c r="A21" s="26" t="s">
        <v>153</v>
      </c>
      <c r="B21" s="27" t="s">
        <v>83</v>
      </c>
      <c r="C21" s="28" t="n">
        <v>46364</v>
      </c>
      <c r="D21" s="29" t="s">
        <v>90</v>
      </c>
      <c r="E21" s="30" t="s">
        <v>154</v>
      </c>
      <c r="F21" s="29" t="s">
        <v>20</v>
      </c>
      <c r="G21" s="29" t="s">
        <v>155</v>
      </c>
      <c r="H21" s="29" t="s">
        <v>156</v>
      </c>
      <c r="I21" s="31" t="s">
        <v>30</v>
      </c>
      <c r="J21" s="29"/>
    </row>
    <row r="22" customFormat="false" ht="63.75" hidden="false" customHeight="true" outlineLevel="0" collapsed="false">
      <c r="A22" s="26" t="s">
        <v>157</v>
      </c>
      <c r="B22" s="27" t="s">
        <v>83</v>
      </c>
      <c r="C22" s="28" t="n">
        <v>46366</v>
      </c>
      <c r="D22" s="29" t="s">
        <v>84</v>
      </c>
      <c r="E22" s="30" t="s">
        <v>158</v>
      </c>
      <c r="F22" s="29" t="s">
        <v>19</v>
      </c>
      <c r="G22" s="29"/>
      <c r="H22" s="29" t="s">
        <v>87</v>
      </c>
      <c r="I22" s="31" t="s">
        <v>30</v>
      </c>
      <c r="J22" s="29" t="s">
        <v>159</v>
      </c>
    </row>
    <row r="23" customFormat="false" ht="63.75" hidden="false" customHeight="true" outlineLevel="0" collapsed="false">
      <c r="A23" s="26" t="s">
        <v>160</v>
      </c>
      <c r="B23" s="27" t="s">
        <v>83</v>
      </c>
      <c r="C23" s="28" t="n">
        <v>46371</v>
      </c>
      <c r="D23" s="29" t="s">
        <v>90</v>
      </c>
      <c r="E23" s="30" t="s">
        <v>161</v>
      </c>
      <c r="F23" s="29" t="s">
        <v>17</v>
      </c>
      <c r="G23" s="29"/>
      <c r="H23" s="29" t="s">
        <v>162</v>
      </c>
      <c r="I23" s="31" t="s">
        <v>30</v>
      </c>
      <c r="J23" s="29" t="s">
        <v>163</v>
      </c>
    </row>
    <row r="24" customFormat="false" ht="63.75" hidden="false" customHeight="true" outlineLevel="0" collapsed="false">
      <c r="A24" s="26" t="s">
        <v>164</v>
      </c>
      <c r="B24" s="27" t="s">
        <v>83</v>
      </c>
      <c r="C24" s="28" t="n">
        <v>46373</v>
      </c>
      <c r="D24" s="29" t="s">
        <v>84</v>
      </c>
      <c r="E24" s="30" t="s">
        <v>165</v>
      </c>
      <c r="F24" s="29" t="s">
        <v>17</v>
      </c>
      <c r="G24" s="29"/>
      <c r="H24" s="29" t="s">
        <v>87</v>
      </c>
      <c r="I24" s="31" t="s">
        <v>30</v>
      </c>
      <c r="J24" s="29" t="s">
        <v>166</v>
      </c>
    </row>
    <row r="25" customFormat="false" ht="63.75" hidden="false" customHeight="true" outlineLevel="0" collapsed="false">
      <c r="A25" s="26" t="s">
        <v>167</v>
      </c>
      <c r="B25" s="27" t="s">
        <v>83</v>
      </c>
      <c r="C25" s="28" t="n">
        <v>46378</v>
      </c>
      <c r="D25" s="29" t="s">
        <v>90</v>
      </c>
      <c r="E25" s="30" t="s">
        <v>168</v>
      </c>
      <c r="F25" s="29" t="s">
        <v>21</v>
      </c>
      <c r="G25" s="29" t="s">
        <v>169</v>
      </c>
      <c r="H25" s="29" t="s">
        <v>170</v>
      </c>
      <c r="I25" s="31" t="s">
        <v>30</v>
      </c>
      <c r="J25" s="29" t="s">
        <v>171</v>
      </c>
    </row>
    <row r="26" customFormat="false" ht="63.75" hidden="false" customHeight="true" outlineLevel="0" collapsed="false">
      <c r="A26" s="26" t="s">
        <v>172</v>
      </c>
      <c r="B26" s="27" t="s">
        <v>83</v>
      </c>
      <c r="C26" s="28" t="n">
        <v>46380</v>
      </c>
      <c r="D26" s="29" t="s">
        <v>173</v>
      </c>
      <c r="E26" s="30" t="s">
        <v>174</v>
      </c>
      <c r="F26" s="29" t="s">
        <v>21</v>
      </c>
      <c r="G26" s="29" t="s">
        <v>175</v>
      </c>
      <c r="H26" s="29" t="s">
        <v>176</v>
      </c>
      <c r="I26" s="31" t="s">
        <v>30</v>
      </c>
      <c r="J26" s="29" t="s">
        <v>177</v>
      </c>
    </row>
    <row r="27" customFormat="false" ht="63.75" hidden="false" customHeight="true" outlineLevel="0" collapsed="false">
      <c r="A27" s="26" t="s">
        <v>178</v>
      </c>
      <c r="B27" s="27" t="s">
        <v>83</v>
      </c>
      <c r="C27" s="28" t="n">
        <v>46387</v>
      </c>
      <c r="D27" s="29" t="s">
        <v>179</v>
      </c>
      <c r="E27" s="30" t="s">
        <v>180</v>
      </c>
      <c r="F27" s="29" t="s">
        <v>17</v>
      </c>
      <c r="G27" s="29" t="s">
        <v>71</v>
      </c>
      <c r="H27" s="29" t="s">
        <v>87</v>
      </c>
      <c r="I27" s="31" t="s">
        <v>30</v>
      </c>
      <c r="J27" s="29" t="s">
        <v>181</v>
      </c>
    </row>
  </sheetData>
  <autoFilter ref="A1:J27"/>
  <conditionalFormatting sqref="I2:I77">
    <cfRule type="expression" priority="2" aboveAverage="0" equalAverage="0" bottom="0" percent="0" rank="0" text="" dxfId="8">
      <formula>$I2="Scheduled"</formula>
    </cfRule>
    <cfRule type="expression" priority="3" aboveAverage="0" equalAverage="0" bottom="0" percent="0" rank="0" text="" dxfId="9">
      <formula>$I2="Awaiting Jon's Approval"</formula>
    </cfRule>
    <cfRule type="expression" priority="4" aboveAverage="0" equalAverage="0" bottom="0" percent="0" rank="0" text="" dxfId="10">
      <formula>$I2="Drafted"</formula>
    </cfRule>
    <cfRule type="expression" priority="5" aboveAverage="0" equalAverage="0" bottom="0" percent="0" rank="0" text="" dxfId="11">
      <formula>$I2="In Design"</formula>
    </cfRule>
    <cfRule type="expression" priority="6" aboveAverage="0" equalAverage="0" bottom="0" percent="0" rank="0" text="" dxfId="12">
      <formula>$I2="Published"</formula>
    </cfRule>
  </conditionalFormatting>
  <dataValidations count="2">
    <dataValidation allowBlank="true" errorStyle="stop" operator="between" showDropDown="false" showErrorMessage="false" showInputMessage="false" sqref="F2:F77" type="list">
      <formula1>"Authentic Personal Branding,Reputation &amp; Digital Presence,Executive Presence &amp; Image,Leadership &amp; Communication,Seasonal &amp; Community"</formula1>
      <formula2>0</formula2>
    </dataValidation>
    <dataValidation allowBlank="true" errorStyle="stop" operator="between" showDropDown="false" showErrorMessage="false" showInputMessage="false" sqref="I2:I77" type="list">
      <formula1>"Idea,Drafted,In Design,Awaiting Jon's Approval,Scheduled,Published"</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6AA84F"/>
    <pageSetUpPr fitToPage="true"/>
  </sheetPr>
  <dimension ref="A1:D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4" min="2" style="0" width="46"/>
  </cols>
  <sheetData>
    <row r="1" customFormat="false" ht="24" hidden="false" customHeight="true" outlineLevel="0" collapsed="false">
      <c r="A1" s="50" t="s">
        <v>182</v>
      </c>
      <c r="B1" s="50" t="s">
        <v>183</v>
      </c>
      <c r="C1" s="50" t="s">
        <v>184</v>
      </c>
      <c r="D1" s="50" t="s">
        <v>185</v>
      </c>
    </row>
    <row r="2" customFormat="false" ht="33" hidden="false" customHeight="true" outlineLevel="0" collapsed="false">
      <c r="A2" s="38" t="s">
        <v>186</v>
      </c>
      <c r="B2" s="51" t="s">
        <v>187</v>
      </c>
      <c r="C2" s="51" t="s">
        <v>188</v>
      </c>
      <c r="D2" s="51" t="s">
        <v>189</v>
      </c>
    </row>
    <row r="3" customFormat="false" ht="20.25" hidden="false" customHeight="true" outlineLevel="0" collapsed="false">
      <c r="A3" s="38" t="s">
        <v>190</v>
      </c>
      <c r="B3" s="52" t="n">
        <v>46308</v>
      </c>
      <c r="C3" s="52" t="n">
        <v>46336</v>
      </c>
      <c r="D3" s="52" t="n">
        <v>46364</v>
      </c>
    </row>
    <row r="4" customFormat="false" ht="57.75" hidden="false" customHeight="true" outlineLevel="0" collapsed="false">
      <c r="A4" s="38" t="s">
        <v>191</v>
      </c>
      <c r="B4" s="51" t="s">
        <v>192</v>
      </c>
      <c r="C4" s="51" t="s">
        <v>193</v>
      </c>
      <c r="D4" s="51" t="s">
        <v>194</v>
      </c>
    </row>
    <row r="5" customFormat="false" ht="20.25" hidden="false" customHeight="true" outlineLevel="0" collapsed="false">
      <c r="A5" s="38" t="s">
        <v>195</v>
      </c>
      <c r="B5" s="51" t="s">
        <v>196</v>
      </c>
      <c r="C5" s="51" t="s">
        <v>196</v>
      </c>
      <c r="D5" s="51" t="s">
        <v>197</v>
      </c>
    </row>
    <row r="6" customFormat="false" ht="20.25" hidden="false" customHeight="true" outlineLevel="0" collapsed="false">
      <c r="A6" s="38" t="s">
        <v>198</v>
      </c>
      <c r="B6" s="51" t="s">
        <v>199</v>
      </c>
      <c r="C6" s="51" t="s">
        <v>200</v>
      </c>
      <c r="D6" s="51" t="s">
        <v>201</v>
      </c>
    </row>
    <row r="7" customFormat="false" ht="33" hidden="false" customHeight="true" outlineLevel="0" collapsed="false">
      <c r="A7" s="38" t="s">
        <v>202</v>
      </c>
      <c r="B7" s="51" t="s">
        <v>203</v>
      </c>
      <c r="C7" s="51" t="s">
        <v>204</v>
      </c>
      <c r="D7" s="51" t="s">
        <v>205</v>
      </c>
    </row>
    <row r="8" customFormat="false" ht="70.5" hidden="false" customHeight="true" outlineLevel="0" collapsed="false">
      <c r="A8" s="38" t="s">
        <v>206</v>
      </c>
      <c r="B8" s="51" t="s">
        <v>207</v>
      </c>
      <c r="C8" s="51" t="s">
        <v>208</v>
      </c>
      <c r="D8" s="51" t="s">
        <v>209</v>
      </c>
    </row>
    <row r="9" customFormat="false" ht="45.75" hidden="false" customHeight="true" outlineLevel="0" collapsed="false">
      <c r="A9" s="38" t="s">
        <v>210</v>
      </c>
      <c r="B9" s="53" t="s">
        <v>211</v>
      </c>
      <c r="C9" s="53" t="s">
        <v>212</v>
      </c>
      <c r="D9" s="53" t="s">
        <v>213</v>
      </c>
    </row>
    <row r="10" customFormat="false" ht="20.25" hidden="false" customHeight="true" outlineLevel="0" collapsed="false">
      <c r="A10" s="38" t="s">
        <v>214</v>
      </c>
      <c r="B10" s="51" t="n">
        <f aca="false">LEN(B9)</f>
        <v>159</v>
      </c>
      <c r="C10" s="51" t="n">
        <f aca="false">LEN(C9)</f>
        <v>158</v>
      </c>
      <c r="D10" s="51" t="n">
        <f aca="false">LEN(D9)</f>
        <v>155</v>
      </c>
    </row>
    <row r="11" customFormat="false" ht="33" hidden="false" customHeight="true" outlineLevel="0" collapsed="false">
      <c r="A11" s="38" t="s">
        <v>215</v>
      </c>
      <c r="B11" s="51" t="s">
        <v>216</v>
      </c>
      <c r="C11" s="51" t="s">
        <v>217</v>
      </c>
      <c r="D11" s="51" t="s">
        <v>218</v>
      </c>
    </row>
    <row r="12" customFormat="false" ht="33" hidden="false" customHeight="true" outlineLevel="0" collapsed="false">
      <c r="A12" s="38" t="s">
        <v>219</v>
      </c>
      <c r="B12" s="51" t="s">
        <v>220</v>
      </c>
      <c r="C12" s="51" t="s">
        <v>221</v>
      </c>
      <c r="D12" s="51" t="s">
        <v>222</v>
      </c>
    </row>
    <row r="13" customFormat="false" ht="33" hidden="false" customHeight="true" outlineLevel="0" collapsed="false">
      <c r="A13" s="38" t="s">
        <v>223</v>
      </c>
      <c r="B13" s="51" t="s">
        <v>224</v>
      </c>
      <c r="C13" s="51" t="s">
        <v>225</v>
      </c>
      <c r="D13" s="51" t="s">
        <v>226</v>
      </c>
    </row>
    <row r="14" customFormat="false" ht="33" hidden="false" customHeight="true" outlineLevel="0" collapsed="false">
      <c r="A14" s="38" t="s">
        <v>227</v>
      </c>
      <c r="B14" s="51" t="s">
        <v>228</v>
      </c>
      <c r="C14" s="51" t="s">
        <v>229</v>
      </c>
      <c r="D14" s="51" t="s">
        <v>230</v>
      </c>
    </row>
    <row r="15" customFormat="false" ht="33" hidden="false" customHeight="true" outlineLevel="0" collapsed="false">
      <c r="A15" s="38" t="s">
        <v>231</v>
      </c>
      <c r="B15" s="51" t="s">
        <v>232</v>
      </c>
      <c r="C15" s="51" t="s">
        <v>233</v>
      </c>
      <c r="D15" s="51" t="s">
        <v>234</v>
      </c>
    </row>
    <row r="16" customFormat="false" ht="33" hidden="false" customHeight="true" outlineLevel="0" collapsed="false">
      <c r="A16" s="38" t="s">
        <v>81</v>
      </c>
      <c r="B16" s="51" t="s">
        <v>235</v>
      </c>
      <c r="C16" s="51" t="s">
        <v>236</v>
      </c>
      <c r="D16" s="51" t="s">
        <v>237</v>
      </c>
    </row>
    <row r="17" customFormat="false" ht="15" hidden="false" customHeight="false" outlineLevel="0" collapsed="false">
      <c r="A17" s="1"/>
      <c r="B17" s="1"/>
      <c r="C17" s="1"/>
      <c r="D17" s="1"/>
    </row>
    <row r="18" customFormat="false" ht="15" hidden="false" customHeight="false" outlineLevel="0" collapsed="false">
      <c r="A18" s="54" t="s">
        <v>238</v>
      </c>
      <c r="B18" s="1"/>
      <c r="C18" s="1"/>
      <c r="D18" s="1"/>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2026-09-27T07:30:55Z</dcterms:created>
  <dc:creator>openpyxl</dc:creator>
  <dc:description/>
  <dc:language>en-US</dc:language>
  <cp:lastModifiedBy/>
  <dcterms:modified xsi:type="dcterms:W3CDTF">2026-09-27T07:30:55Z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