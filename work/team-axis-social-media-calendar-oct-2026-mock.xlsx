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4 Overview" sheetId="1" state="visible" r:id="rId3"/>
    <sheet name="Month View" sheetId="2" state="visible" r:id="rId4"/>
    <sheet name="Calendar" sheetId="3" state="visible" r:id="rId5"/>
    <sheet name="Campaign Briefs" sheetId="4" state="visible" r:id="rId6"/>
  </sheets>
  <definedNames>
    <definedName function="false" hidden="false" localSheetId="2" name="_xlnm.Print_Titles" vbProcedure="false">Calendar!$1:$1</definedName>
    <definedName function="false" hidden="true" localSheetId="2" name="_xlnm._FilterDatabase" vbProcedure="false">Calendar!$A$1:$L$14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<sst xmlns="http://schemas.openxmlformats.org/spreadsheetml/2006/main" count="273" uniqueCount="184">
  <si>
    <t xml:space="preserve">Team Axis  |  Social Media Calendar October 2026</t>
  </si>
  <si>
    <t xml:space="preserve">Mock plan for portfolio purposes. Not an official Team Axis document. Campaign names are original concepts. Dates, figures, venues and partner details are placeholders to confirm.</t>
  </si>
  <si>
    <t xml:space="preserve">Posting cadence</t>
  </si>
  <si>
    <t xml:space="preserve">Channel</t>
  </si>
  <si>
    <t xml:space="preserve">What goes out</t>
  </si>
  <si>
    <t xml:space="preserve">Instagram</t>
  </si>
  <si>
    <t xml:space="preserve">3 posts a week (Mon, Wed, Fri). Reels for hosts and events, carousels for tips, statics for announcements.</t>
  </si>
  <si>
    <t xml:space="preserve">Facebook</t>
  </si>
  <si>
    <t xml:space="preserve">Cross-post from Instagram. Every post.</t>
  </si>
  <si>
    <t xml:space="preserve">Telegram</t>
  </si>
  <si>
    <t xml:space="preserve">Programme announcements and reminders only (see Also Post To column).</t>
  </si>
  <si>
    <t xml:space="preserve">Campaigns this month</t>
  </si>
  <si>
    <t xml:space="preserve">Campaign</t>
  </si>
  <si>
    <t xml:space="preserve">Dates</t>
  </si>
  <si>
    <t xml:space="preserve">Power Up Players S1</t>
  </si>
  <si>
    <t xml:space="preserve">Teaser 2 Oct, launch 5 Oct. Step Quest continues to 28 Nov.</t>
  </si>
  <si>
    <t xml:space="preserve">Move It! Challenge</t>
  </si>
  <si>
    <t xml:space="preserve">Check-in 1 runs 12 to 23 Oct.</t>
  </si>
  <si>
    <t xml:space="preserve">Always-on</t>
  </si>
  <si>
    <t xml:space="preserve">Health tips, instructor features and community content.</t>
  </si>
  <si>
    <t xml:space="preserve">Coming next month</t>
  </si>
  <si>
    <t xml:space="preserve">Midweek Reset @ [MALL NAME] (18 to 20 Nov), Move It! Check-in 2 (10 to 20 Nov).</t>
  </si>
  <si>
    <t xml:space="preserve">Content pillar mix</t>
  </si>
  <si>
    <t xml:space="preserve">Pillar</t>
  </si>
  <si>
    <t xml:space="preserve">Target share</t>
  </si>
  <si>
    <t xml:space="preserve">Posts planned</t>
  </si>
  <si>
    <t xml:space="preserve">Actual share</t>
  </si>
  <si>
    <t xml:space="preserve">Variance</t>
  </si>
  <si>
    <t xml:space="preserve">Programme Promotion</t>
  </si>
  <si>
    <t xml:space="preserve">Community &amp; Participants</t>
  </si>
  <si>
    <t xml:space="preserve">Health Education</t>
  </si>
  <si>
    <t xml:space="preserve">Instructors &amp; Behind the Scenes</t>
  </si>
  <si>
    <t xml:space="preserve">Seasonal &amp; Culture</t>
  </si>
  <si>
    <t xml:space="preserve">Total</t>
  </si>
  <si>
    <t xml:space="preserve">Blue figures are editable targets. Launch month, so the mix leans promotional. Counts update from the Calendar tab.</t>
  </si>
  <si>
    <t xml:space="preserve">Posts by channel and week</t>
  </si>
  <si>
    <t xml:space="preserve">Wk 1 (1 to 4)</t>
  </si>
  <si>
    <t xml:space="preserve">Wk 2 (5 to 11)</t>
  </si>
  <si>
    <t xml:space="preserve">Wk 3 (12 to 18)</t>
  </si>
  <si>
    <t xml:space="preserve">Wk 4 (19 to 25)</t>
  </si>
  <si>
    <t xml:space="preserve">Wk 5 (26 to 31)</t>
  </si>
  <si>
    <t xml:space="preserve">Posts by status</t>
  </si>
  <si>
    <t xml:space="preserve">Status</t>
  </si>
  <si>
    <t xml:space="preserve">Posts</t>
  </si>
  <si>
    <t xml:space="preserve">Idea</t>
  </si>
  <si>
    <t xml:space="preserve">Drafted</t>
  </si>
  <si>
    <t xml:space="preserve">In Design</t>
  </si>
  <si>
    <t xml:space="preserve">Awaiting Approval</t>
  </si>
  <si>
    <t xml:space="preserve">Scheduled</t>
  </si>
  <si>
    <t xml:space="preserve">Published</t>
  </si>
  <si>
    <t xml:space="preserve">Key dates this month (Singapore)</t>
  </si>
  <si>
    <t xml:space="preserve">Occasion</t>
  </si>
  <si>
    <t xml:space="preserve">Date</t>
  </si>
  <si>
    <t xml:space="preserve">Tie-in</t>
  </si>
  <si>
    <t xml:space="preserve">Children's Day (primary schools)</t>
  </si>
  <si>
    <t xml:space="preserve">2 Oct</t>
  </si>
  <si>
    <t xml:space="preserve">No post planned</t>
  </si>
  <si>
    <t xml:space="preserve">World Mental Health Day</t>
  </si>
  <si>
    <t xml:space="preserve">10 Oct</t>
  </si>
  <si>
    <t xml:space="preserve">14 Oct reel</t>
  </si>
  <si>
    <t xml:space="preserve">Pink October</t>
  </si>
  <si>
    <t xml:space="preserve">All month</t>
  </si>
  <si>
    <t xml:space="preserve">19 Oct carousel</t>
  </si>
  <si>
    <t xml:space="preserve">World Stroke Day</t>
  </si>
  <si>
    <t xml:space="preserve">29 Oct</t>
  </si>
  <si>
    <t xml:space="preserve">28 Oct reel</t>
  </si>
  <si>
    <t xml:space="preserve">Deepavali long weekend (plan ahead)</t>
  </si>
  <si>
    <t xml:space="preserve">7 to 9 Nov</t>
  </si>
  <si>
    <t xml:space="preserve">Draft 6 and 8 Nov posts by end of month</t>
  </si>
  <si>
    <t xml:space="preserve">October 2026</t>
  </si>
  <si>
    <t xml:space="preserve">Mon</t>
  </si>
  <si>
    <t xml:space="preserve">Tue</t>
  </si>
  <si>
    <t xml:space="preserve">Wed</t>
  </si>
  <si>
    <t xml:space="preserve">Thu</t>
  </si>
  <si>
    <t xml:space="preserve">Fri</t>
  </si>
  <si>
    <t xml:space="preserve">Sat</t>
  </si>
  <si>
    <t xml:space="preserve">Sun</t>
  </si>
  <si>
    <t xml:space="preserve">★ Children's Day
IG · Reel
Teaser: Something New Is Loading</t>
  </si>
  <si>
    <t xml:space="preserve">IG · Carousel
Season 1 Launch: Step Quest Starts Now</t>
  </si>
  <si>
    <t xml:space="preserve">IG · Reel
How to Earn XP</t>
  </si>
  <si>
    <t xml:space="preserve">IG · Reel
Let's Talk About Power Up Players, Part 1</t>
  </si>
  <si>
    <t xml:space="preserve">★ World Mental Health Day</t>
  </si>
  <si>
    <t xml:space="preserve">IG · Static
Check-in 1 Opens Today</t>
  </si>
  <si>
    <t xml:space="preserve">IG · Reel
5 Desk Resets in 30 Seconds</t>
  </si>
  <si>
    <t xml:space="preserve">IG · Reel
Let's Talk About Power Up Players, Part 2</t>
  </si>
  <si>
    <t xml:space="preserve">IG · Carousel
Pink October: Know What's Normal for You</t>
  </si>
  <si>
    <t xml:space="preserve">IG · Reel
Quest Photos From Week 2</t>
  </si>
  <si>
    <t xml:space="preserve">IG · Reel
Meet Your Instructor: [NAME]</t>
  </si>
  <si>
    <t xml:space="preserve">IG · Carousel
Healthier Hawker Swaps</t>
  </si>
  <si>
    <t xml:space="preserve">IG · Reel
Know the Signs of Stroke</t>
  </si>
  <si>
    <t xml:space="preserve">★ World Stroke Day</t>
  </si>
  <si>
    <t xml:space="preserve">IG · Static
Halfway Leaderboard</t>
  </si>
  <si>
    <t xml:space="preserve">Key</t>
  </si>
  <si>
    <t xml:space="preserve">★ Key date</t>
  </si>
  <si>
    <t xml:space="preserve">Full captions, hooks and notes are in the Calendar tab.</t>
  </si>
  <si>
    <t xml:space="preserve">Format</t>
  </si>
  <si>
    <t xml:space="preserve">Content Pillar</t>
  </si>
  <si>
    <t xml:space="preserve">Post Title</t>
  </si>
  <si>
    <t xml:space="preserve">Caption</t>
  </si>
  <si>
    <t xml:space="preserve">Reel Hook / On-screen Text</t>
  </si>
  <si>
    <t xml:space="preserve">Key Date Tie-in</t>
  </si>
  <si>
    <t xml:space="preserve">Also Post To</t>
  </si>
  <si>
    <t xml:space="preserve">Notes</t>
  </si>
  <si>
    <t xml:space="preserve">Reel</t>
  </si>
  <si>
    <t xml:space="preserve">Teaser: Something New Is Loading</t>
  </si>
  <si>
    <t xml:space="preserve">Something new is loading 🎮 Grab a colleague, charge up your step counter and get ready. A brand new way to stay active together drops this Monday. Any guesses? Drop them below 👇
#TeamAxisSG #ComingSoon #WorkplaceWellness</t>
  </si>
  <si>
    <t xml:space="preserve">Loading... Player 2 needed.</t>
  </si>
  <si>
    <t xml:space="preserve">Facebook, Telegram</t>
  </si>
  <si>
    <t xml:space="preserve">Pixel-art style teaser, 10 to 15 sec.</t>
  </si>
  <si>
    <t xml:space="preserve">Carousel</t>
  </si>
  <si>
    <t xml:space="preserve">Season 1 Launch: Step Quest Starts Now</t>
  </si>
  <si>
    <t xml:space="preserve">Player 1, ready? Power Up Players Season 1 is officially live! 🏆
Step Quest runs from 5 Oct to 28 Nov. Bring a colleague along on three healthy quests, snap a photo and submit it to earn trophies.
🏃 Move together
🥗 Fuel up with a shared meal
💌 Recharge with an encouraging note
Collect five trophies to unlock your first reward. Tag the teammate you're bringing along 👇
#PowerUpPlayers #TeamAxisSG #WorkplaceWellness</t>
  </si>
  <si>
    <t xml:space="preserve">Design ready: mock post 01 (Season launch).</t>
  </si>
  <si>
    <t xml:space="preserve">How to Earn XP</t>
  </si>
  <si>
    <t xml:space="preserve">Three ways to rack up XP this season, explained in under a minute ⏱️ Stay till the end for the bonus quest most players miss. Which one are you starting with? Drop a 1, 2 or 3 below 👇
#PowerUpPlayers #LevelUpYourHealth #TeamAxisSG</t>
  </si>
  <si>
    <t xml:space="preserve">You're leaving XP on the table. Here's how to fix that.</t>
  </si>
  <si>
    <t xml:space="preserve">Cover: mock post 02 (yellow duotone).</t>
  </si>
  <si>
    <t xml:space="preserve">Let's Talk About Power Up Players, Part 1</t>
  </si>
  <si>
    <t xml:space="preserve">New here? Our host sits down with [GUEST NAME] to break down what Power Up Players is, who can join and why your whole team should sign up together 🙌
Part 2 drops next Friday. Save this so you don't miss it 🔔
#PowerUpPlayers #WorkplaceWellness #TeamAxisSG</t>
  </si>
  <si>
    <t xml:space="preserve">So what actually is Power Up Players?</t>
  </si>
  <si>
    <t xml:space="preserve">Cover: mock post 03 (blue duotone).</t>
  </si>
  <si>
    <t xml:space="preserve">Static</t>
  </si>
  <si>
    <t xml:space="preserve">Check-in 1 Opens Today</t>
  </si>
  <si>
    <t xml:space="preserve">Check-in 1 of the Move It! Challenge 2026 opens today 📋 Drop by any check-in station from 12 to 23 Oct, track your progress and start earning vouchers.
First-timers get a free healthy snack pack (while stocks last) 🥜 Search 'Move It' on [APP NAME] to sign up.
#MoveItChallenge #TeamAxisSG #HealthyLiving</t>
  </si>
  <si>
    <t xml:space="preserve">Adapt mock post 05 layout for Check-in 1.</t>
  </si>
  <si>
    <t xml:space="preserve">5 Desk Resets in 30 Seconds</t>
  </si>
  <si>
    <t xml:space="preserve">World Mental Health Day was last Saturday, but looking after your mind is an everyday thing 💙 Here are five quick resets you can do between meetings, no gym required. Save this for your next 3pm slump and send it to a colleague who needs it.
#WorldMentalHealthDay #MindMatters #TeamAxisSG</t>
  </si>
  <si>
    <t xml:space="preserve">Your 3pm slump fix is here.</t>
  </si>
  <si>
    <t xml:space="preserve">World Mental Health Day (10 Oct)</t>
  </si>
  <si>
    <t xml:space="preserve">Let's Talk About Power Up Players, Part 2</t>
  </si>
  <si>
    <t xml:space="preserve">Part 2 is here 🎙️ Our host and [GUEST NAME] cover who can join, how trophies turn into rewards and the one tip that helps teams stay consistent. Missed Part 1? It's on our profile.
#PowerUpPlayers #TeamAxisSG</t>
  </si>
  <si>
    <t xml:space="preserve">Who can join, and what can you win?</t>
  </si>
  <si>
    <t xml:space="preserve">Blue duotone cover, 'Part 2'.</t>
  </si>
  <si>
    <t xml:space="preserve">Pink October: Know What's Normal for You</t>
  </si>
  <si>
    <t xml:space="preserve">It's Pink October 🎀 Breast cancer awareness is about knowing what's normal for your body and not putting off screenings. Swipe for simple reminders, and visit HealthHub for screening information. Share this with someone you love.
#PinkOctober #BreastCancerAwareness #TeamAxisSG</t>
  </si>
  <si>
    <t xml:space="preserve">Check all health content against HPB and HealthHub guidance before posting.</t>
  </si>
  <si>
    <t xml:space="preserve">Quest Photos From Week 2</t>
  </si>
  <si>
    <t xml:space="preserve">You all brought the energy this week 🔥 Here are some of our favourite Step Quest submissions so far, from lunchtime walks to shared salads. Keep them coming, every photo counts towards your trophies!
#PowerUpPlayers #TeamAxisSG #QuestComplete</t>
  </si>
  <si>
    <t xml:space="preserve">POV: your team actually showed up.</t>
  </si>
  <si>
    <t xml:space="preserve">Feature only submissions with photo consent.</t>
  </si>
  <si>
    <t xml:space="preserve">Meet Your Instructor: [NAME]</t>
  </si>
  <si>
    <t xml:space="preserve">Meet [NAME], one of the friendly faces leading our [CLASS TYPE] sessions 👋 [NAME] has been coaching for [X] years and believes [ONE-LINE PHILOSOPHY]. Catch them at our next session and say hi!
#MeetYourInstructor #TeamAxisSG #SGFitness</t>
  </si>
  <si>
    <t xml:space="preserve">Meet the person behind your favourite class.</t>
  </si>
  <si>
    <t xml:space="preserve">Instructor to approve final cut.</t>
  </si>
  <si>
    <t xml:space="preserve">Healthier Hawker Swaps</t>
  </si>
  <si>
    <t xml:space="preserve">Hawker food is part of who we are 🍜 and eating well doesn't mean giving it up. Swipe for five easy swaps that cut down on sugar, salt and oil without losing the flavour. Which swap are you trying this week?
#HealthierChoice #HawkerFood #TeamAxisSG</t>
  </si>
  <si>
    <t xml:space="preserve">Check swaps against HPB healthier choice guidance.</t>
  </si>
  <si>
    <t xml:space="preserve">Know the Signs of Stroke</t>
  </si>
  <si>
    <t xml:space="preserve">Tomorrow is World Stroke Day. Knowing the warning signs can help someone get treatment faster. Watch, save and share, and if you notice these signs, call 995 immediately.
#WorldStrokeDay #KnowTheSigns #TeamAxisSG</t>
  </si>
  <si>
    <t xml:space="preserve">Every minute counts. Would you know what to look for?</t>
  </si>
  <si>
    <t xml:space="preserve">World Stroke Day (29 Oct)</t>
  </si>
  <si>
    <t xml:space="preserve">Use the official warning-signs acronym from a recognised Singapore health source. Verify before posting.</t>
  </si>
  <si>
    <t xml:space="preserve">Halfway Leaderboard</t>
  </si>
  <si>
    <t xml:space="preserve">The halfway leaderboard is in 🏆 Congratulations to [TEAM 1], [TEAM 2] and [TEAM 3] for leading the pack. Four weeks left to climb, so grab your colleagues and keep questing!
#PowerUpPlayers #Leaderboard #TeamAxisSG</t>
  </si>
  <si>
    <t xml:space="preserve">Confirm standings on the day.</t>
  </si>
  <si>
    <t xml:space="preserve">Field</t>
  </si>
  <si>
    <t xml:space="preserve">5 Oct to 28 Nov 2026. Winners announced 11 Dec.</t>
  </si>
  <si>
    <t xml:space="preserve">Check-in 1: 12 to 23 Oct (this month). Check-ins 2 and 3 follow in Nov and Dec.</t>
  </si>
  <si>
    <t xml:space="preserve">Objective</t>
  </si>
  <si>
    <t xml:space="preserve">Drive sign-ups and sustained weekly participation in a team-based workplace wellness programme.</t>
  </si>
  <si>
    <t xml:space="preserve">Increase check-in completion across all three cycles and bring in first-time participants.</t>
  </si>
  <si>
    <t xml:space="preserve">Target audience</t>
  </si>
  <si>
    <t xml:space="preserve">Office workers and their colleagues.</t>
  </si>
  <si>
    <t xml:space="preserve">Adults building a regular health habit, including first-timers and returning participants.</t>
  </si>
  <si>
    <t xml:space="preserve">Key message</t>
  </si>
  <si>
    <t xml:space="preserve">Staying healthy is easier with a teammate. Bring a colleague, complete quests, level up together.</t>
  </si>
  <si>
    <t xml:space="preserve">It's not too late to join. Every check-in counts, and there are rewards along the way.</t>
  </si>
  <si>
    <t xml:space="preserve">How it works</t>
  </si>
  <si>
    <t xml:space="preserve">Pairs complete three quest types (Move Together, Fuel Up, Recharge), submit a photo per quest and earn trophies. Five trophies unlock a reward. Top teams win at season end.</t>
  </si>
  <si>
    <t xml:space="preserve">Participants visit a check-in station during each cycle to track progress. Vouchers are earned for completed check-ins. First-timers receive a free healthy snack pack while stocks last.</t>
  </si>
  <si>
    <t xml:space="preserve">Channels</t>
  </si>
  <si>
    <t xml:space="preserve">Instagram (launch, host reels, leaderboard, countdown, winners), Facebook, Telegram reminders.</t>
  </si>
  <si>
    <t xml:space="preserve">Instagram statics for each cycle opening and closing, Facebook, Telegram reminders.</t>
  </si>
  <si>
    <t xml:space="preserve">Hero assets</t>
  </si>
  <si>
    <t xml:space="preserve">Mock posts 01 (launch), 02 and 03 (reel covers). Pixel-art style with blue and yellow duotone reels. Mock post 04 (countdown) is for November.</t>
  </si>
  <si>
    <t xml:space="preserve">Adapt mock post 05 layout for Check-in 1. Torn-paper style with red, blue and green accents.</t>
  </si>
  <si>
    <t xml:space="preserve">Metrics to track</t>
  </si>
  <si>
    <t xml:space="preserve">Sign-ups, weekly quest submissions, reel views and saves, profile visits, link-in-bio clicks.</t>
  </si>
  <si>
    <t xml:space="preserve">Check-in completions per cycle, first-time sign-ups, app searches for 'Move It', reminder post reach.</t>
  </si>
  <si>
    <t xml:space="preserve">Call to action</t>
  </si>
  <si>
    <t xml:space="preserve">Sign up and tag the colleague you're bringing along.</t>
  </si>
  <si>
    <t xml:space="preserve">Search 'Move It' on [APP NAME] to join.</t>
  </si>
  <si>
    <t xml:space="preserve">Only feature participant photos with consent. Season 2 teased for 2027.</t>
  </si>
  <si>
    <t xml:space="preserve">Voucher values and station locations to confirm.</t>
  </si>
</sst>
</file>

<file path=xl/styles.xml><?xml version="1.0" encoding="utf-8"?>
<styleSheet xmlns="http://schemas.openxmlformats.org/spreadsheetml/2006/main">
  <numFmts count="6">
    <numFmt numFmtId="164" formatCode="General"/>
    <numFmt numFmtId="165" formatCode="0.0%;\-0.0%;\-"/>
    <numFmt numFmtId="166" formatCode="General"/>
    <numFmt numFmtId="167" formatCode="0%"/>
    <numFmt numFmtId="168" formatCode="0;\-0;\-"/>
    <numFmt numFmtId="169" formatCode="ddd\ d\ mmm"/>
  </numFmts>
  <fonts count="16">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7F7F7F"/>
      <name val="Arial"/>
      <family val="0"/>
      <charset val="1"/>
    </font>
    <font>
      <b val="true"/>
      <sz val="11"/>
      <color rgb="FF2F5BD8"/>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
      <b val="true"/>
      <sz val="10"/>
      <color rgb="FF1B1B2F"/>
      <name val="Arial"/>
      <family val="0"/>
      <charset val="1"/>
    </font>
    <font>
      <b val="true"/>
      <sz val="10"/>
      <color rgb="FFBFBFBF"/>
      <name val="Arial"/>
      <family val="0"/>
      <charset val="1"/>
    </font>
    <font>
      <b val="true"/>
      <sz val="10"/>
      <color rgb="FF2F5BD8"/>
      <name val="Arial"/>
      <family val="0"/>
      <charset val="1"/>
    </font>
    <font>
      <sz val="9"/>
      <name val="Arial"/>
      <family val="0"/>
      <charset val="1"/>
    </font>
    <font>
      <b val="true"/>
      <sz val="9"/>
      <name val="Arial"/>
      <family val="0"/>
      <charset val="1"/>
    </font>
  </fonts>
  <fills count="12">
    <fill>
      <patternFill patternType="none"/>
    </fill>
    <fill>
      <patternFill patternType="gray125"/>
    </fill>
    <fill>
      <patternFill patternType="solid">
        <fgColor rgb="FF2F5BD8"/>
        <bgColor rgb="FF0066CC"/>
      </patternFill>
    </fill>
    <fill>
      <patternFill patternType="solid">
        <fgColor rgb="FFF2F2F2"/>
        <bgColor rgb="FFFDE7F0"/>
      </patternFill>
    </fill>
    <fill>
      <patternFill patternType="solid">
        <fgColor rgb="FFDDEBF7"/>
        <bgColor rgb="FFD9EAD3"/>
      </patternFill>
    </fill>
    <fill>
      <patternFill patternType="solid">
        <fgColor rgb="FFEAD1F5"/>
        <bgColor rgb="FFD9D9D9"/>
      </patternFill>
    </fill>
    <fill>
      <patternFill patternType="solid">
        <fgColor rgb="FFFCE5CD"/>
        <bgColor rgb="FFFFF4CC"/>
      </patternFill>
    </fill>
    <fill>
      <patternFill patternType="solid">
        <fgColor rgb="FFD9EAD3"/>
        <bgColor rgb="FFDDEBF7"/>
      </patternFill>
    </fill>
    <fill>
      <patternFill patternType="solid">
        <fgColor rgb="FFB6D7A8"/>
        <bgColor rgb="FFBFBFBF"/>
      </patternFill>
    </fill>
    <fill>
      <patternFill patternType="solid">
        <fgColor rgb="FFFFF4CC"/>
        <bgColor rgb="FFFCE5CD"/>
      </patternFill>
    </fill>
    <fill>
      <patternFill patternType="solid">
        <fgColor rgb="FFFFFFFF"/>
        <bgColor rgb="FFF2F2F2"/>
      </patternFill>
    </fill>
    <fill>
      <patternFill patternType="solid">
        <fgColor rgb="FFFDE7F0"/>
        <bgColor rgb="FFF2F2F2"/>
      </patternFill>
    </fill>
  </fills>
  <borders count="7">
    <border diagonalUp="false" diagonalDown="false">
      <left/>
      <right/>
      <top/>
      <bottom/>
      <diagonal/>
    </border>
    <border diagonalUp="false" diagonalDown="false">
      <left/>
      <right/>
      <top/>
      <bottom style="thick">
        <color rgb="FFF5C518"/>
      </bottom>
      <diagonal/>
    </border>
    <border diagonalUp="false" diagonalDown="false">
      <left/>
      <right/>
      <top/>
      <bottom style="medium">
        <color rgb="FF2F5BD8"/>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style="thin">
        <color rgb="FFD9D9D9"/>
      </right>
      <top style="thin">
        <color rgb="FFD9D9D9"/>
      </top>
      <bottom/>
      <diagonal/>
    </border>
    <border diagonalUp="false" diagonalDown="false">
      <left style="thin">
        <color rgb="FFD9D9D9"/>
      </left>
      <right style="thin">
        <color rgb="FFD9D9D9"/>
      </right>
      <top/>
      <bottom style="thin">
        <color rgb="FFD9D9D9"/>
      </bottom>
      <diagonal/>
    </border>
    <border diagonalUp="false" diagonalDown="false">
      <left style="thin">
        <color rgb="FFD9D9D9"/>
      </left>
      <right style="thin">
        <color rgb="FFD9D9D9"/>
      </right>
      <top style="thin">
        <color rgb="FFD9D9D9"/>
      </top>
      <bottom style="medium">
        <color rgb="FFF5C51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center" textRotation="0" wrapText="true" indent="1"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7" fillId="2" borderId="3" xfId="0" applyFont="true" applyBorder="true" applyAlignment="true" applyProtection="false">
      <alignment horizontal="left" vertical="center" textRotation="0" wrapText="false" indent="0" shrinkToFit="false"/>
      <protection locked="true" hidden="false"/>
    </xf>
    <xf numFmtId="164" fontId="8" fillId="0" borderId="3" xfId="0" applyFont="true" applyBorder="true" applyAlignment="true" applyProtection="false">
      <alignment horizontal="left" vertical="center" textRotation="0" wrapText="true" indent="0" shrinkToFit="false"/>
      <protection locked="true" hidden="false"/>
    </xf>
    <xf numFmtId="164" fontId="9" fillId="0" borderId="3" xfId="0" applyFont="true" applyBorder="true" applyAlignment="true" applyProtection="false">
      <alignment horizontal="left" vertical="center" textRotation="0" wrapText="true" indent="1" shrinkToFit="false"/>
      <protection locked="true" hidden="false"/>
    </xf>
    <xf numFmtId="164" fontId="7" fillId="2" borderId="3"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true" applyProtection="false">
      <alignment horizontal="left" vertical="center" textRotation="0" wrapText="true" indent="0" shrinkToFit="false"/>
      <protection locked="true" hidden="false"/>
    </xf>
    <xf numFmtId="165" fontId="10" fillId="0" borderId="3" xfId="0" applyFont="true" applyBorder="true" applyAlignment="true" applyProtection="false">
      <alignment horizontal="center" vertical="center" textRotation="0" wrapText="true" indent="0" shrinkToFit="false"/>
      <protection locked="true" hidden="false"/>
    </xf>
    <xf numFmtId="166" fontId="9" fillId="0" borderId="3" xfId="0" applyFont="true" applyBorder="true" applyAlignment="true" applyProtection="false">
      <alignment horizontal="center" vertical="center" textRotation="0" wrapText="true" indent="0" shrinkToFit="false"/>
      <protection locked="true" hidden="false"/>
    </xf>
    <xf numFmtId="165" fontId="9" fillId="0" borderId="3" xfId="0" applyFont="true" applyBorder="true" applyAlignment="true" applyProtection="false">
      <alignment horizontal="center" vertical="center" textRotation="0" wrapText="true" indent="0" shrinkToFit="false"/>
      <protection locked="true" hidden="false"/>
    </xf>
    <xf numFmtId="164" fontId="8" fillId="3" borderId="3" xfId="0" applyFont="true" applyBorder="true" applyAlignment="true" applyProtection="false">
      <alignment horizontal="left" vertical="center" textRotation="0" wrapText="true" indent="0" shrinkToFit="false"/>
      <protection locked="true" hidden="false"/>
    </xf>
    <xf numFmtId="167" fontId="8" fillId="3" borderId="3" xfId="0" applyFont="true" applyBorder="true" applyAlignment="true" applyProtection="false">
      <alignment horizontal="center" vertical="center" textRotation="0" wrapText="true" indent="0" shrinkToFit="false"/>
      <protection locked="true" hidden="false"/>
    </xf>
    <xf numFmtId="166" fontId="8" fillId="3" borderId="3" xfId="0" applyFont="true" applyBorder="true" applyAlignment="true" applyProtection="false">
      <alignment horizontal="center" vertical="center" textRotation="0" wrapText="true" indent="0" shrinkToFit="false"/>
      <protection locked="true" hidden="false"/>
    </xf>
    <xf numFmtId="164" fontId="9" fillId="3" borderId="3"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9" fillId="0" borderId="3"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9" fillId="4" borderId="3" xfId="0" applyFont="true" applyBorder="true" applyAlignment="true" applyProtection="false">
      <alignment horizontal="left" vertical="center" textRotation="0" wrapText="true" indent="0" shrinkToFit="false"/>
      <protection locked="true" hidden="false"/>
    </xf>
    <xf numFmtId="164" fontId="9" fillId="5" borderId="3" xfId="0" applyFont="true" applyBorder="true" applyAlignment="true" applyProtection="false">
      <alignment horizontal="left" vertical="center" textRotation="0" wrapText="true" indent="0" shrinkToFit="false"/>
      <protection locked="true" hidden="false"/>
    </xf>
    <xf numFmtId="164" fontId="9" fillId="6" borderId="3" xfId="0" applyFont="true" applyBorder="true" applyAlignment="true" applyProtection="false">
      <alignment horizontal="left" vertical="center" textRotation="0" wrapText="true" indent="0" shrinkToFit="false"/>
      <protection locked="true" hidden="false"/>
    </xf>
    <xf numFmtId="164" fontId="9" fillId="7" borderId="3" xfId="0" applyFont="true" applyBorder="true" applyAlignment="true" applyProtection="false">
      <alignment horizontal="left" vertical="center" textRotation="0" wrapText="true" indent="0" shrinkToFit="false"/>
      <protection locked="true" hidden="false"/>
    </xf>
    <xf numFmtId="164" fontId="9" fillId="8" borderId="3" xfId="0" applyFont="true" applyBorder="true" applyAlignment="true" applyProtection="false">
      <alignment horizontal="left" vertical="center" textRotation="0" wrapText="true" indent="0" shrinkToFit="false"/>
      <protection locked="true" hidden="false"/>
    </xf>
    <xf numFmtId="164" fontId="9" fillId="0" borderId="3" xfId="0" applyFont="true" applyBorder="true" applyAlignment="true" applyProtection="false">
      <alignment horizontal="left" vertical="center" textRotation="0" wrapText="false" indent="1" shrinkToFit="false"/>
      <protection locked="true" hidden="false"/>
    </xf>
    <xf numFmtId="164" fontId="4" fillId="2" borderId="1" xfId="0" applyFont="true" applyBorder="true" applyAlignment="true" applyProtection="false">
      <alignment horizontal="left" vertical="center" textRotation="0" wrapText="false" indent="1" shrinkToFit="false"/>
      <protection locked="true" hidden="false"/>
    </xf>
    <xf numFmtId="164" fontId="11" fillId="9" borderId="3" xfId="0" applyFont="true" applyBorder="true" applyAlignment="true" applyProtection="false">
      <alignment horizontal="center" vertical="center" textRotation="0" wrapText="false" indent="0" shrinkToFit="false"/>
      <protection locked="true" hidden="false"/>
    </xf>
    <xf numFmtId="164" fontId="12" fillId="3" borderId="4" xfId="0" applyFont="true" applyBorder="true" applyAlignment="true" applyProtection="false">
      <alignment horizontal="left" vertical="center" textRotation="0" wrapText="false" indent="1" shrinkToFit="false"/>
      <protection locked="true" hidden="false"/>
    </xf>
    <xf numFmtId="164" fontId="13" fillId="10" borderId="4" xfId="0" applyFont="true" applyBorder="true" applyAlignment="true" applyProtection="false">
      <alignment horizontal="left" vertical="center" textRotation="0" wrapText="false" indent="1" shrinkToFit="false"/>
      <protection locked="true" hidden="false"/>
    </xf>
    <xf numFmtId="164" fontId="13" fillId="11" borderId="4" xfId="0" applyFont="true" applyBorder="true" applyAlignment="true" applyProtection="false">
      <alignment horizontal="left" vertical="center" textRotation="0" wrapText="false" indent="1" shrinkToFit="false"/>
      <protection locked="true" hidden="false"/>
    </xf>
    <xf numFmtId="164" fontId="14" fillId="3" borderId="5" xfId="0" applyFont="true" applyBorder="true" applyAlignment="true" applyProtection="false">
      <alignment horizontal="general" vertical="top" textRotation="0" wrapText="true" indent="1" shrinkToFit="false"/>
      <protection locked="true" hidden="false"/>
    </xf>
    <xf numFmtId="164" fontId="14" fillId="10" borderId="5" xfId="0" applyFont="true" applyBorder="true" applyAlignment="true" applyProtection="false">
      <alignment horizontal="general" vertical="top" textRotation="0" wrapText="true" indent="1" shrinkToFit="false"/>
      <protection locked="true" hidden="false"/>
    </xf>
    <xf numFmtId="164" fontId="14" fillId="11" borderId="5" xfId="0" applyFont="true" applyBorder="true" applyAlignment="true" applyProtection="false">
      <alignment horizontal="general" vertical="top" textRotation="0" wrapText="true" indent="1"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5" fillId="11" borderId="3" xfId="0" applyFont="true" applyBorder="true" applyAlignment="true" applyProtection="false">
      <alignment horizontal="center" vertical="bottom" textRotation="0" wrapText="false" indent="0" shrinkToFit="false"/>
      <protection locked="true" hidden="false"/>
    </xf>
    <xf numFmtId="164" fontId="15" fillId="10" borderId="3" xfId="0" applyFont="true" applyBorder="true" applyAlignment="true" applyProtection="false">
      <alignment horizontal="center" vertical="bottom" textRotation="0" wrapText="false" indent="0" shrinkToFit="false"/>
      <protection locked="true" hidden="false"/>
    </xf>
    <xf numFmtId="164" fontId="7" fillId="2" borderId="6" xfId="0" applyFont="true" applyBorder="true" applyAlignment="true" applyProtection="false">
      <alignment horizontal="center" vertical="center" textRotation="0" wrapText="true" indent="0" shrinkToFit="false"/>
      <protection locked="true" hidden="false"/>
    </xf>
    <xf numFmtId="164" fontId="7" fillId="2" borderId="6" xfId="0" applyFont="true" applyBorder="true" applyAlignment="true" applyProtection="false">
      <alignment horizontal="left" vertical="center" textRotation="0" wrapText="true" indent="0" shrinkToFit="false"/>
      <protection locked="true" hidden="false"/>
    </xf>
    <xf numFmtId="169" fontId="9" fillId="10" borderId="3" xfId="0" applyFont="true" applyBorder="true" applyAlignment="true" applyProtection="false">
      <alignment horizontal="center" vertical="top" textRotation="0" wrapText="true" indent="0" shrinkToFit="false"/>
      <protection locked="true" hidden="false"/>
    </xf>
    <xf numFmtId="164" fontId="8" fillId="11" borderId="3" xfId="0" applyFont="true" applyBorder="true" applyAlignment="true" applyProtection="false">
      <alignment horizontal="center" vertical="top" textRotation="0" wrapText="true" indent="0" shrinkToFit="false"/>
      <protection locked="true" hidden="false"/>
    </xf>
    <xf numFmtId="164" fontId="9" fillId="10" borderId="3" xfId="0" applyFont="true" applyBorder="true" applyAlignment="true" applyProtection="false">
      <alignment horizontal="center" vertical="top" textRotation="0" wrapText="true" indent="0" shrinkToFit="false"/>
      <protection locked="true" hidden="false"/>
    </xf>
    <xf numFmtId="164" fontId="9" fillId="10" borderId="3" xfId="0" applyFont="true" applyBorder="true" applyAlignment="true" applyProtection="false">
      <alignment horizontal="left" vertical="top" textRotation="0" wrapText="true" indent="0" shrinkToFit="false"/>
      <protection locked="true" hidden="false"/>
    </xf>
    <xf numFmtId="164" fontId="8" fillId="10" borderId="3" xfId="0" applyFont="true" applyBorder="true" applyAlignment="true" applyProtection="false">
      <alignment horizontal="left" vertical="top" textRotation="0" wrapText="true" indent="0" shrinkToFit="false"/>
      <protection locked="true" hidden="false"/>
    </xf>
    <xf numFmtId="164" fontId="7" fillId="2" borderId="3" xfId="0" applyFont="true" applyBorder="true" applyAlignment="false" applyProtection="false">
      <alignment horizontal="general" vertical="bottom" textRotation="0" wrapText="false" indent="0" shrinkToFit="false"/>
      <protection locked="true" hidden="false"/>
    </xf>
    <xf numFmtId="164" fontId="7" fillId="2" borderId="3" xfId="0" applyFont="true" applyBorder="true" applyAlignment="true" applyProtection="false">
      <alignment horizontal="general" vertical="center" textRotation="0" wrapText="true" indent="0" shrinkToFit="false"/>
      <protection locked="true" hidden="false"/>
    </xf>
    <xf numFmtId="164" fontId="8" fillId="9" borderId="3" xfId="0" applyFont="true" applyBorder="true" applyAlignment="true" applyProtection="false">
      <alignment horizontal="general" vertical="top" textRotation="0" wrapText="true" indent="0" shrinkToFit="false"/>
      <protection locked="true" hidden="false"/>
    </xf>
    <xf numFmtId="164" fontId="9" fillId="0" borderId="3"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F5BD8"/>
          <bgColor rgb="FF000000"/>
        </patternFill>
      </fill>
    </dxf>
    <dxf>
      <fill>
        <patternFill patternType="solid">
          <fgColor rgb="FFFFFFFF"/>
          <bgColor rgb="FF000000"/>
        </patternFill>
      </fill>
    </dxf>
    <dxf>
      <fill>
        <patternFill patternType="solid">
          <bgColor rgb="FF000000"/>
        </patternFill>
      </fill>
    </dxf>
    <dxf>
      <fill>
        <patternFill patternType="solid">
          <fgColor rgb="FFFDE7F0"/>
          <bgColor rgb="FF000000"/>
        </patternFill>
      </fill>
    </dxf>
    <dxf>
      <fill>
        <patternFill patternType="solid">
          <fgColor rgb="FFD9EAD3"/>
          <bgColor rgb="FF000000"/>
        </patternFill>
      </fill>
    </dxf>
    <dxf>
      <fill>
        <patternFill patternType="solid">
          <fgColor rgb="FFFCE5CD"/>
          <bgColor rgb="FF000000"/>
        </patternFill>
      </fill>
    </dxf>
    <dxf>
      <font>
        <name val="Arial"/>
        <charset val="1"/>
        <family val="0"/>
        <b val="1"/>
        <sz val="10"/>
      </font>
      <fill>
        <patternFill>
          <bgColor rgb="FFD9EAD3"/>
        </patternFill>
      </fill>
    </dxf>
    <dxf>
      <font>
        <name val="Arial"/>
        <charset val="1"/>
        <family val="0"/>
        <b val="1"/>
        <sz val="10"/>
      </font>
      <fill>
        <patternFill>
          <bgColor rgb="FFFCE5CD"/>
        </patternFill>
      </fill>
    </dxf>
    <dxf>
      <font>
        <name val="Arial"/>
        <charset val="1"/>
        <family val="0"/>
        <b val="1"/>
        <sz val="10"/>
      </font>
      <fill>
        <patternFill>
          <bgColor rgb="FFDDEBF7"/>
        </patternFill>
      </fill>
    </dxf>
    <dxf>
      <font>
        <name val="Arial"/>
        <charset val="1"/>
        <family val="0"/>
        <b val="1"/>
        <sz val="10"/>
      </font>
      <fill>
        <patternFill>
          <bgColor rgb="FFEAD1F5"/>
        </patternFill>
      </fill>
    </dxf>
    <dxf>
      <font>
        <name val="Arial"/>
        <charset val="1"/>
        <family val="0"/>
        <b val="1"/>
        <sz val="10"/>
      </font>
      <fill>
        <patternFill>
          <bgColor rgb="FFB6D7A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4CC"/>
      <rgbColor rgb="FFDDEBF7"/>
      <rgbColor rgb="FF660066"/>
      <rgbColor rgb="FFF07CA8"/>
      <rgbColor rgb="FF0066CC"/>
      <rgbColor rgb="FFEAD1F5"/>
      <rgbColor rgb="FF000080"/>
      <rgbColor rgb="FFFF00FF"/>
      <rgbColor rgb="FFFFFF00"/>
      <rgbColor rgb="FF00FFFF"/>
      <rgbColor rgb="FF800080"/>
      <rgbColor rgb="FF800000"/>
      <rgbColor rgb="FF008080"/>
      <rgbColor rgb="FF0000FF"/>
      <rgbColor rgb="FF00CCFF"/>
      <rgbColor rgb="FFF2F2F2"/>
      <rgbColor rgb="FFD9EAD3"/>
      <rgbColor rgb="FFFDE7F0"/>
      <rgbColor rgb="FFB6D7A8"/>
      <rgbColor rgb="FFFF99CC"/>
      <rgbColor rgb="FFD9D9D9"/>
      <rgbColor rgb="FFFCE5CD"/>
      <rgbColor rgb="FF2F5BD8"/>
      <rgbColor rgb="FF2EC4B6"/>
      <rgbColor rgb="FF99CC00"/>
      <rgbColor rgb="FFF5C518"/>
      <rgbColor rgb="FFFF9900"/>
      <rgbColor rgb="FFFF6600"/>
      <rgbColor rgb="FF666699"/>
      <rgbColor rgb="FF969696"/>
      <rgbColor rgb="FF003366"/>
      <rgbColor rgb="FF339966"/>
      <rgbColor rgb="FF003300"/>
      <rgbColor rgb="FF333300"/>
      <rgbColor rgb="FF993300"/>
      <rgbColor rgb="FF993366"/>
      <rgbColor rgb="FF333399"/>
      <rgbColor rgb="FF1B1B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C518"/>
    <pageSetUpPr fitToPage="true"/>
  </sheetPr>
  <dimension ref="B2:H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7" min="3" style="0" width="15"/>
    <col collapsed="false" customWidth="true" hidden="false" outlineLevel="0" max="8" min="8" style="0" width="12"/>
    <col collapsed="false" customWidth="true" hidden="false" outlineLevel="0" max="9" min="9" style="0" width="3"/>
  </cols>
  <sheetData>
    <row r="2" customFormat="false" ht="33.75" hidden="false" customHeight="true" outlineLevel="0" collapsed="false">
      <c r="B2" s="1" t="s">
        <v>0</v>
      </c>
      <c r="C2" s="1"/>
      <c r="D2" s="1"/>
      <c r="E2" s="1"/>
      <c r="F2" s="1"/>
      <c r="G2" s="1"/>
      <c r="H2" s="1"/>
    </row>
    <row r="3" customFormat="false" ht="27.75" hidden="false" customHeight="true" outlineLevel="0" collapsed="false">
      <c r="B3" s="2" t="s">
        <v>1</v>
      </c>
      <c r="C3" s="2"/>
      <c r="D3" s="2"/>
      <c r="E3" s="2"/>
      <c r="F3" s="2"/>
      <c r="G3" s="2"/>
      <c r="H3" s="2"/>
    </row>
    <row r="5" customFormat="false" ht="21.75" hidden="false" customHeight="true" outlineLevel="0" collapsed="false">
      <c r="B5" s="3" t="s">
        <v>2</v>
      </c>
      <c r="C5" s="3"/>
      <c r="D5" s="3"/>
      <c r="E5" s="3"/>
      <c r="F5" s="3"/>
      <c r="G5" s="3"/>
      <c r="H5" s="3"/>
    </row>
    <row r="6" customFormat="false" ht="19.5" hidden="false" customHeight="true" outlineLevel="0" collapsed="false">
      <c r="B6" s="4" t="s">
        <v>3</v>
      </c>
      <c r="C6" s="4" t="s">
        <v>4</v>
      </c>
      <c r="D6" s="4"/>
      <c r="E6" s="4"/>
      <c r="F6" s="4"/>
      <c r="G6" s="4"/>
      <c r="H6" s="4"/>
    </row>
    <row r="7" customFormat="false" ht="21.75" hidden="false" customHeight="true" outlineLevel="0" collapsed="false">
      <c r="B7" s="5" t="s">
        <v>5</v>
      </c>
      <c r="C7" s="6" t="s">
        <v>6</v>
      </c>
      <c r="D7" s="6"/>
      <c r="E7" s="6"/>
      <c r="F7" s="6"/>
      <c r="G7" s="6"/>
      <c r="H7" s="6"/>
    </row>
    <row r="8" customFormat="false" ht="21.75" hidden="false" customHeight="true" outlineLevel="0" collapsed="false">
      <c r="B8" s="5" t="s">
        <v>7</v>
      </c>
      <c r="C8" s="6" t="s">
        <v>8</v>
      </c>
      <c r="D8" s="6"/>
      <c r="E8" s="6"/>
      <c r="F8" s="6"/>
      <c r="G8" s="6"/>
      <c r="H8" s="6"/>
    </row>
    <row r="9" customFormat="false" ht="21.75" hidden="false" customHeight="true" outlineLevel="0" collapsed="false">
      <c r="B9" s="5" t="s">
        <v>9</v>
      </c>
      <c r="C9" s="6" t="s">
        <v>10</v>
      </c>
      <c r="D9" s="6"/>
      <c r="E9" s="6"/>
      <c r="F9" s="6"/>
      <c r="G9" s="6"/>
      <c r="H9" s="6"/>
    </row>
    <row r="12" customFormat="false" ht="21.75" hidden="false" customHeight="true" outlineLevel="0" collapsed="false">
      <c r="B12" s="3" t="s">
        <v>11</v>
      </c>
      <c r="C12" s="3"/>
      <c r="D12" s="3"/>
      <c r="E12" s="3"/>
      <c r="F12" s="3"/>
      <c r="G12" s="3"/>
      <c r="H12" s="3"/>
    </row>
    <row r="13" customFormat="false" ht="19.5" hidden="false" customHeight="true" outlineLevel="0" collapsed="false">
      <c r="B13" s="4" t="s">
        <v>12</v>
      </c>
      <c r="C13" s="4" t="s">
        <v>13</v>
      </c>
      <c r="D13" s="4"/>
      <c r="E13" s="4"/>
      <c r="F13" s="4"/>
      <c r="G13" s="4"/>
      <c r="H13" s="4"/>
    </row>
    <row r="14" customFormat="false" ht="21.75" hidden="false" customHeight="true" outlineLevel="0" collapsed="false">
      <c r="B14" s="5" t="s">
        <v>14</v>
      </c>
      <c r="C14" s="6" t="s">
        <v>15</v>
      </c>
      <c r="D14" s="6"/>
      <c r="E14" s="6"/>
      <c r="F14" s="6"/>
      <c r="G14" s="6"/>
      <c r="H14" s="6"/>
    </row>
    <row r="15" customFormat="false" ht="21.75" hidden="false" customHeight="true" outlineLevel="0" collapsed="false">
      <c r="B15" s="5" t="s">
        <v>16</v>
      </c>
      <c r="C15" s="6" t="s">
        <v>17</v>
      </c>
      <c r="D15" s="6"/>
      <c r="E15" s="6"/>
      <c r="F15" s="6"/>
      <c r="G15" s="6"/>
      <c r="H15" s="6"/>
    </row>
    <row r="16" customFormat="false" ht="21.75" hidden="false" customHeight="true" outlineLevel="0" collapsed="false">
      <c r="B16" s="5" t="s">
        <v>18</v>
      </c>
      <c r="C16" s="6" t="s">
        <v>19</v>
      </c>
      <c r="D16" s="6"/>
      <c r="E16" s="6"/>
      <c r="F16" s="6"/>
      <c r="G16" s="6"/>
      <c r="H16" s="6"/>
    </row>
    <row r="17" customFormat="false" ht="21.75" hidden="false" customHeight="true" outlineLevel="0" collapsed="false">
      <c r="B17" s="5" t="s">
        <v>20</v>
      </c>
      <c r="C17" s="6" t="s">
        <v>21</v>
      </c>
      <c r="D17" s="6"/>
      <c r="E17" s="6"/>
      <c r="F17" s="6"/>
      <c r="G17" s="6"/>
      <c r="H17" s="6"/>
    </row>
    <row r="19" customFormat="false" ht="21.75" hidden="false" customHeight="true" outlineLevel="0" collapsed="false">
      <c r="B19" s="3" t="s">
        <v>22</v>
      </c>
      <c r="C19" s="3"/>
      <c r="D19" s="3"/>
      <c r="E19" s="3"/>
      <c r="F19" s="3"/>
      <c r="G19" s="3"/>
      <c r="H19" s="3"/>
    </row>
    <row r="20" customFormat="false" ht="19.5" hidden="false" customHeight="true" outlineLevel="0" collapsed="false">
      <c r="B20" s="4" t="s">
        <v>23</v>
      </c>
      <c r="C20" s="7" t="s">
        <v>24</v>
      </c>
      <c r="D20" s="7" t="s">
        <v>25</v>
      </c>
      <c r="E20" s="7" t="s">
        <v>26</v>
      </c>
      <c r="F20" s="7" t="s">
        <v>27</v>
      </c>
    </row>
    <row r="21" customFormat="false" ht="15" hidden="false" customHeight="false" outlineLevel="0" collapsed="false">
      <c r="B21" s="8" t="s">
        <v>28</v>
      </c>
      <c r="C21" s="9" t="n">
        <v>0.4</v>
      </c>
      <c r="D21" s="10" t="n">
        <f aca="false">COUNTIF(Calendar!$E:$E,B21)</f>
        <v>6</v>
      </c>
      <c r="E21" s="11" t="n">
        <f aca="false">IF($D$26=0,0,D21/$D$26)</f>
        <v>0.461538461538462</v>
      </c>
      <c r="F21" s="11" t="n">
        <f aca="false">E21-C21</f>
        <v>0.0615384615384615</v>
      </c>
    </row>
    <row r="22" customFormat="false" ht="15" hidden="false" customHeight="false" outlineLevel="0" collapsed="false">
      <c r="B22" s="8" t="s">
        <v>29</v>
      </c>
      <c r="C22" s="9" t="n">
        <v>0.15</v>
      </c>
      <c r="D22" s="10" t="n">
        <f aca="false">COUNTIF(Calendar!$E:$E,B22)</f>
        <v>2</v>
      </c>
      <c r="E22" s="11" t="n">
        <f aca="false">IF($D$26=0,0,D22/$D$26)</f>
        <v>0.153846153846154</v>
      </c>
      <c r="F22" s="11" t="n">
        <f aca="false">E22-C22</f>
        <v>0.00384615384615386</v>
      </c>
    </row>
    <row r="23" customFormat="false" ht="15" hidden="false" customHeight="false" outlineLevel="0" collapsed="false">
      <c r="B23" s="8" t="s">
        <v>30</v>
      </c>
      <c r="C23" s="9" t="n">
        <v>0.3</v>
      </c>
      <c r="D23" s="10" t="n">
        <f aca="false">COUNTIF(Calendar!$E:$E,B23)</f>
        <v>4</v>
      </c>
      <c r="E23" s="11" t="n">
        <f aca="false">IF($D$26=0,0,D23/$D$26)</f>
        <v>0.307692307692308</v>
      </c>
      <c r="F23" s="11" t="n">
        <f aca="false">E23-C23</f>
        <v>0.00769230769230772</v>
      </c>
    </row>
    <row r="24" customFormat="false" ht="15" hidden="false" customHeight="false" outlineLevel="0" collapsed="false">
      <c r="B24" s="8" t="s">
        <v>31</v>
      </c>
      <c r="C24" s="9" t="n">
        <v>0.1</v>
      </c>
      <c r="D24" s="10" t="n">
        <f aca="false">COUNTIF(Calendar!$E:$E,B24)</f>
        <v>1</v>
      </c>
      <c r="E24" s="11" t="n">
        <f aca="false">IF($D$26=0,0,D24/$D$26)</f>
        <v>0.0769230769230769</v>
      </c>
      <c r="F24" s="11" t="n">
        <f aca="false">E24-C24</f>
        <v>-0.0230769230769231</v>
      </c>
    </row>
    <row r="25" customFormat="false" ht="15" hidden="false" customHeight="false" outlineLevel="0" collapsed="false">
      <c r="B25" s="8" t="s">
        <v>32</v>
      </c>
      <c r="C25" s="9" t="n">
        <v>0.05</v>
      </c>
      <c r="D25" s="10" t="n">
        <f aca="false">COUNTIF(Calendar!$E:$E,B25)</f>
        <v>0</v>
      </c>
      <c r="E25" s="11" t="n">
        <f aca="false">IF($D$26=0,0,D25/$D$26)</f>
        <v>0</v>
      </c>
      <c r="F25" s="11" t="n">
        <f aca="false">E25-C25</f>
        <v>-0.05</v>
      </c>
    </row>
    <row r="26" customFormat="false" ht="15" hidden="false" customHeight="false" outlineLevel="0" collapsed="false">
      <c r="B26" s="12" t="s">
        <v>33</v>
      </c>
      <c r="C26" s="13" t="n">
        <f aca="false">SUM(C21:C25)</f>
        <v>1</v>
      </c>
      <c r="D26" s="14" t="n">
        <f aca="false">SUM(D21:D25)</f>
        <v>13</v>
      </c>
      <c r="E26" s="15"/>
      <c r="F26" s="15"/>
    </row>
    <row r="27" customFormat="false" ht="15" hidden="false" customHeight="false" outlineLevel="0" collapsed="false">
      <c r="B27" s="16" t="s">
        <v>34</v>
      </c>
    </row>
    <row r="29" customFormat="false" ht="21.75" hidden="false" customHeight="true" outlineLevel="0" collapsed="false">
      <c r="B29" s="3" t="s">
        <v>35</v>
      </c>
      <c r="C29" s="3"/>
      <c r="D29" s="3"/>
      <c r="E29" s="3"/>
      <c r="F29" s="3"/>
      <c r="G29" s="3"/>
      <c r="H29" s="3"/>
    </row>
    <row r="30" customFormat="false" ht="19.5" hidden="false" customHeight="true" outlineLevel="0" collapsed="false">
      <c r="B30" s="4" t="s">
        <v>3</v>
      </c>
      <c r="C30" s="7" t="s">
        <v>36</v>
      </c>
      <c r="D30" s="7" t="s">
        <v>37</v>
      </c>
      <c r="E30" s="7" t="s">
        <v>38</v>
      </c>
      <c r="F30" s="7" t="s">
        <v>39</v>
      </c>
      <c r="G30" s="7" t="s">
        <v>40</v>
      </c>
      <c r="H30" s="7" t="s">
        <v>33</v>
      </c>
    </row>
    <row r="31" customFormat="false" ht="15" hidden="false" customHeight="false" outlineLevel="0" collapsed="false">
      <c r="B31" s="8" t="s">
        <v>5</v>
      </c>
      <c r="C31" s="17" t="n">
        <f aca="false">COUNTIFS(Calendar!$B:$B,$B31,Calendar!$A:$A,"&gt;="&amp;DATE(2026,10,1),Calendar!$A:$A,"&lt;="&amp;DATE(2026,10,4))</f>
        <v>1</v>
      </c>
      <c r="D31" s="17" t="n">
        <f aca="false">COUNTIFS(Calendar!$B:$B,$B31,Calendar!$A:$A,"&gt;="&amp;DATE(2026,10,5),Calendar!$A:$A,"&lt;="&amp;DATE(2026,10,11))</f>
        <v>3</v>
      </c>
      <c r="E31" s="17" t="n">
        <f aca="false">COUNTIFS(Calendar!$B:$B,$B31,Calendar!$A:$A,"&gt;="&amp;DATE(2026,10,12),Calendar!$A:$A,"&lt;="&amp;DATE(2026,10,18))</f>
        <v>3</v>
      </c>
      <c r="F31" s="17" t="n">
        <f aca="false">COUNTIFS(Calendar!$B:$B,$B31,Calendar!$A:$A,"&gt;="&amp;DATE(2026,10,19),Calendar!$A:$A,"&lt;="&amp;DATE(2026,10,25))</f>
        <v>3</v>
      </c>
      <c r="G31" s="17" t="n">
        <f aca="false">COUNTIFS(Calendar!$B:$B,$B31,Calendar!$A:$A,"&gt;="&amp;DATE(2026,10,26),Calendar!$A:$A,"&lt;="&amp;DATE(2026,10,31))</f>
        <v>3</v>
      </c>
      <c r="H31" s="10" t="n">
        <f aca="false">SUM(C31:G31)</f>
        <v>13</v>
      </c>
    </row>
    <row r="32" customFormat="false" ht="15" hidden="false" customHeight="false" outlineLevel="0" collapsed="false">
      <c r="B32" s="12" t="s">
        <v>33</v>
      </c>
      <c r="C32" s="14" t="n">
        <f aca="false">SUM(C31:C31)</f>
        <v>1</v>
      </c>
      <c r="D32" s="14" t="n">
        <f aca="false">SUM(D31:D31)</f>
        <v>3</v>
      </c>
      <c r="E32" s="14" t="n">
        <f aca="false">SUM(E31:E31)</f>
        <v>3</v>
      </c>
      <c r="F32" s="14" t="n">
        <f aca="false">SUM(F31:F31)</f>
        <v>3</v>
      </c>
      <c r="G32" s="14" t="n">
        <f aca="false">SUM(G31:G31)</f>
        <v>3</v>
      </c>
      <c r="H32" s="14" t="n">
        <f aca="false">SUM(H31:H31)</f>
        <v>13</v>
      </c>
    </row>
    <row r="35" customFormat="false" ht="21.75" hidden="false" customHeight="true" outlineLevel="0" collapsed="false">
      <c r="B35" s="3" t="s">
        <v>41</v>
      </c>
      <c r="C35" s="3"/>
      <c r="D35" s="3"/>
      <c r="E35" s="3"/>
      <c r="F35" s="3"/>
      <c r="G35" s="3"/>
      <c r="H35" s="3"/>
    </row>
    <row r="36" customFormat="false" ht="19.5" hidden="false" customHeight="true" outlineLevel="0" collapsed="false">
      <c r="B36" s="4" t="s">
        <v>42</v>
      </c>
      <c r="C36" s="7" t="s">
        <v>43</v>
      </c>
      <c r="D36" s="18"/>
      <c r="E36" s="18"/>
      <c r="F36" s="18"/>
    </row>
    <row r="37" customFormat="false" ht="15" hidden="false" customHeight="false" outlineLevel="0" collapsed="false">
      <c r="B37" s="8" t="s">
        <v>44</v>
      </c>
      <c r="C37" s="17" t="n">
        <f aca="false">COUNTIF(Calendar!$K:$K,$B37)</f>
        <v>0</v>
      </c>
      <c r="D37" s="19"/>
      <c r="E37" s="19"/>
      <c r="F37" s="19"/>
    </row>
    <row r="38" customFormat="false" ht="15" hidden="false" customHeight="false" outlineLevel="0" collapsed="false">
      <c r="B38" s="20" t="s">
        <v>45</v>
      </c>
      <c r="C38" s="17" t="n">
        <f aca="false">COUNTIF(Calendar!$K:$K,$B38)</f>
        <v>0</v>
      </c>
      <c r="D38" s="19"/>
      <c r="E38" s="19"/>
      <c r="F38" s="19"/>
    </row>
    <row r="39" customFormat="false" ht="15" hidden="false" customHeight="false" outlineLevel="0" collapsed="false">
      <c r="B39" s="21" t="s">
        <v>46</v>
      </c>
      <c r="C39" s="17" t="n">
        <f aca="false">COUNTIF(Calendar!$K:$K,$B39)</f>
        <v>0</v>
      </c>
      <c r="D39" s="19"/>
      <c r="E39" s="19"/>
      <c r="F39" s="19"/>
    </row>
    <row r="40" customFormat="false" ht="15" hidden="false" customHeight="false" outlineLevel="0" collapsed="false">
      <c r="B40" s="22" t="s">
        <v>47</v>
      </c>
      <c r="C40" s="17" t="n">
        <f aca="false">COUNTIF(Calendar!$K:$K,$B40)</f>
        <v>6</v>
      </c>
      <c r="D40" s="19"/>
      <c r="E40" s="19"/>
      <c r="F40" s="19"/>
    </row>
    <row r="41" customFormat="false" ht="15" hidden="false" customHeight="false" outlineLevel="0" collapsed="false">
      <c r="B41" s="23" t="s">
        <v>48</v>
      </c>
      <c r="C41" s="17" t="n">
        <f aca="false">COUNTIF(Calendar!$K:$K,$B41)</f>
        <v>7</v>
      </c>
      <c r="D41" s="19"/>
      <c r="E41" s="19"/>
      <c r="F41" s="19"/>
    </row>
    <row r="42" customFormat="false" ht="15" hidden="false" customHeight="false" outlineLevel="0" collapsed="false">
      <c r="B42" s="24" t="s">
        <v>49</v>
      </c>
      <c r="C42" s="17" t="n">
        <f aca="false">COUNTIF(Calendar!$K:$K,$B42)</f>
        <v>0</v>
      </c>
      <c r="D42" s="19"/>
      <c r="E42" s="19"/>
      <c r="F42" s="19"/>
    </row>
    <row r="43" customFormat="false" ht="15" hidden="false" customHeight="false" outlineLevel="0" collapsed="false">
      <c r="B43" s="12" t="s">
        <v>33</v>
      </c>
      <c r="C43" s="14" t="n">
        <f aca="false">SUM(C37:C42)</f>
        <v>13</v>
      </c>
      <c r="D43" s="19"/>
      <c r="E43" s="19"/>
      <c r="F43" s="19"/>
    </row>
    <row r="46" customFormat="false" ht="21.75" hidden="false" customHeight="true" outlineLevel="0" collapsed="false">
      <c r="B46" s="3" t="s">
        <v>50</v>
      </c>
      <c r="C46" s="3"/>
      <c r="D46" s="3"/>
      <c r="E46" s="3"/>
      <c r="F46" s="3"/>
      <c r="G46" s="3"/>
      <c r="H46" s="3"/>
    </row>
    <row r="47" customFormat="false" ht="19.5" hidden="false" customHeight="true" outlineLevel="0" collapsed="false">
      <c r="B47" s="4" t="s">
        <v>51</v>
      </c>
      <c r="C47" s="7" t="s">
        <v>52</v>
      </c>
      <c r="D47" s="4" t="s">
        <v>53</v>
      </c>
      <c r="E47" s="4"/>
      <c r="F47" s="4"/>
      <c r="G47" s="4"/>
      <c r="H47" s="4"/>
    </row>
    <row r="48" customFormat="false" ht="15" hidden="false" customHeight="false" outlineLevel="0" collapsed="false">
      <c r="B48" s="8" t="s">
        <v>54</v>
      </c>
      <c r="C48" s="10" t="s">
        <v>55</v>
      </c>
      <c r="D48" s="25" t="s">
        <v>56</v>
      </c>
      <c r="E48" s="25"/>
      <c r="F48" s="25"/>
      <c r="G48" s="25"/>
      <c r="H48" s="25"/>
    </row>
    <row r="49" customFormat="false" ht="15" hidden="false" customHeight="false" outlineLevel="0" collapsed="false">
      <c r="B49" s="8" t="s">
        <v>57</v>
      </c>
      <c r="C49" s="10" t="s">
        <v>58</v>
      </c>
      <c r="D49" s="25" t="s">
        <v>59</v>
      </c>
      <c r="E49" s="25"/>
      <c r="F49" s="25"/>
      <c r="G49" s="25"/>
      <c r="H49" s="25"/>
    </row>
    <row r="50" customFormat="false" ht="15" hidden="false" customHeight="false" outlineLevel="0" collapsed="false">
      <c r="B50" s="8" t="s">
        <v>60</v>
      </c>
      <c r="C50" s="10" t="s">
        <v>61</v>
      </c>
      <c r="D50" s="25" t="s">
        <v>62</v>
      </c>
      <c r="E50" s="25"/>
      <c r="F50" s="25"/>
      <c r="G50" s="25"/>
      <c r="H50" s="25"/>
    </row>
    <row r="51" customFormat="false" ht="15" hidden="false" customHeight="false" outlineLevel="0" collapsed="false">
      <c r="B51" s="8" t="s">
        <v>63</v>
      </c>
      <c r="C51" s="10" t="s">
        <v>64</v>
      </c>
      <c r="D51" s="25" t="s">
        <v>65</v>
      </c>
      <c r="E51" s="25"/>
      <c r="F51" s="25"/>
      <c r="G51" s="25"/>
      <c r="H51" s="25"/>
    </row>
    <row r="52" customFormat="false" ht="15" hidden="false" customHeight="false" outlineLevel="0" collapsed="false">
      <c r="B52" s="8" t="s">
        <v>66</v>
      </c>
      <c r="C52" s="10" t="s">
        <v>67</v>
      </c>
      <c r="D52" s="25" t="s">
        <v>68</v>
      </c>
      <c r="E52" s="25"/>
      <c r="F52" s="25"/>
      <c r="G52" s="25"/>
      <c r="H52" s="25"/>
    </row>
  </sheetData>
  <mergeCells count="23">
    <mergeCell ref="B2:H2"/>
    <mergeCell ref="B3:H3"/>
    <mergeCell ref="B5:H5"/>
    <mergeCell ref="C6:H6"/>
    <mergeCell ref="C7:H7"/>
    <mergeCell ref="C8:H8"/>
    <mergeCell ref="C9:H9"/>
    <mergeCell ref="B12:H12"/>
    <mergeCell ref="C13:H13"/>
    <mergeCell ref="C14:H14"/>
    <mergeCell ref="C15:H15"/>
    <mergeCell ref="C16:H16"/>
    <mergeCell ref="C17:H17"/>
    <mergeCell ref="B19:H19"/>
    <mergeCell ref="B29:H29"/>
    <mergeCell ref="B35:H35"/>
    <mergeCell ref="B46:H46"/>
    <mergeCell ref="D47:H47"/>
    <mergeCell ref="D48:H48"/>
    <mergeCell ref="D49:H49"/>
    <mergeCell ref="D50:H50"/>
    <mergeCell ref="D51:H51"/>
    <mergeCell ref="D52:H5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07CA8"/>
    <pageSetUpPr fitToPage="true"/>
  </sheetPr>
  <dimension ref="A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24"/>
  </cols>
  <sheetData>
    <row r="1" customFormat="false" ht="31.5" hidden="false" customHeight="true" outlineLevel="0" collapsed="false">
      <c r="A1" s="26" t="s">
        <v>69</v>
      </c>
      <c r="B1" s="26"/>
      <c r="C1" s="26"/>
      <c r="D1" s="26"/>
      <c r="E1" s="26"/>
      <c r="F1" s="26"/>
      <c r="G1" s="26"/>
    </row>
    <row r="2" customFormat="false" ht="19.5" hidden="false" customHeight="true" outlineLevel="0" collapsed="false">
      <c r="A2" s="27" t="s">
        <v>70</v>
      </c>
      <c r="B2" s="27" t="s">
        <v>71</v>
      </c>
      <c r="C2" s="27" t="s">
        <v>72</v>
      </c>
      <c r="D2" s="27" t="s">
        <v>73</v>
      </c>
      <c r="E2" s="27" t="s">
        <v>74</v>
      </c>
      <c r="F2" s="27" t="s">
        <v>75</v>
      </c>
      <c r="G2" s="27" t="s">
        <v>76</v>
      </c>
    </row>
    <row r="3" customFormat="false" ht="18" hidden="false" customHeight="true" outlineLevel="0" collapsed="false">
      <c r="A3" s="28"/>
      <c r="B3" s="28"/>
      <c r="C3" s="28"/>
      <c r="D3" s="29" t="n">
        <v>1</v>
      </c>
      <c r="E3" s="30" t="n">
        <v>2</v>
      </c>
      <c r="F3" s="29" t="n">
        <v>3</v>
      </c>
      <c r="G3" s="29" t="n">
        <v>4</v>
      </c>
    </row>
    <row r="4" customFormat="false" ht="69.75" hidden="false" customHeight="true" outlineLevel="0" collapsed="false">
      <c r="A4" s="31"/>
      <c r="B4" s="31"/>
      <c r="C4" s="31"/>
      <c r="D4" s="32"/>
      <c r="E4" s="33" t="s">
        <v>77</v>
      </c>
      <c r="F4" s="32"/>
      <c r="G4" s="32"/>
    </row>
    <row r="5" customFormat="false" ht="18" hidden="false" customHeight="true" outlineLevel="0" collapsed="false">
      <c r="A5" s="30" t="n">
        <v>5</v>
      </c>
      <c r="B5" s="29" t="n">
        <v>6</v>
      </c>
      <c r="C5" s="30" t="n">
        <v>7</v>
      </c>
      <c r="D5" s="29" t="n">
        <v>8</v>
      </c>
      <c r="E5" s="30" t="n">
        <v>9</v>
      </c>
      <c r="F5" s="29" t="n">
        <v>10</v>
      </c>
      <c r="G5" s="29" t="n">
        <v>11</v>
      </c>
    </row>
    <row r="6" customFormat="false" ht="69.75" hidden="false" customHeight="true" outlineLevel="0" collapsed="false">
      <c r="A6" s="33" t="s">
        <v>78</v>
      </c>
      <c r="B6" s="32"/>
      <c r="C6" s="33" t="s">
        <v>79</v>
      </c>
      <c r="D6" s="32"/>
      <c r="E6" s="33" t="s">
        <v>80</v>
      </c>
      <c r="F6" s="32" t="s">
        <v>81</v>
      </c>
      <c r="G6" s="32"/>
    </row>
    <row r="7" customFormat="false" ht="18" hidden="false" customHeight="true" outlineLevel="0" collapsed="false">
      <c r="A7" s="30" t="n">
        <v>12</v>
      </c>
      <c r="B7" s="29" t="n">
        <v>13</v>
      </c>
      <c r="C7" s="30" t="n">
        <v>14</v>
      </c>
      <c r="D7" s="29" t="n">
        <v>15</v>
      </c>
      <c r="E7" s="30" t="n">
        <v>16</v>
      </c>
      <c r="F7" s="29" t="n">
        <v>17</v>
      </c>
      <c r="G7" s="29" t="n">
        <v>18</v>
      </c>
    </row>
    <row r="8" customFormat="false" ht="69.75" hidden="false" customHeight="true" outlineLevel="0" collapsed="false">
      <c r="A8" s="33" t="s">
        <v>82</v>
      </c>
      <c r="B8" s="32"/>
      <c r="C8" s="33" t="s">
        <v>83</v>
      </c>
      <c r="D8" s="32"/>
      <c r="E8" s="33" t="s">
        <v>84</v>
      </c>
      <c r="F8" s="32"/>
      <c r="G8" s="32"/>
    </row>
    <row r="9" customFormat="false" ht="18" hidden="false" customHeight="true" outlineLevel="0" collapsed="false">
      <c r="A9" s="30" t="n">
        <v>19</v>
      </c>
      <c r="B9" s="29" t="n">
        <v>20</v>
      </c>
      <c r="C9" s="30" t="n">
        <v>21</v>
      </c>
      <c r="D9" s="29" t="n">
        <v>22</v>
      </c>
      <c r="E9" s="30" t="n">
        <v>23</v>
      </c>
      <c r="F9" s="29" t="n">
        <v>24</v>
      </c>
      <c r="G9" s="29" t="n">
        <v>25</v>
      </c>
    </row>
    <row r="10" customFormat="false" ht="69.75" hidden="false" customHeight="true" outlineLevel="0" collapsed="false">
      <c r="A10" s="33" t="s">
        <v>85</v>
      </c>
      <c r="B10" s="32"/>
      <c r="C10" s="33" t="s">
        <v>86</v>
      </c>
      <c r="D10" s="32"/>
      <c r="E10" s="33" t="s">
        <v>87</v>
      </c>
      <c r="F10" s="32"/>
      <c r="G10" s="32"/>
    </row>
    <row r="11" customFormat="false" ht="18" hidden="false" customHeight="true" outlineLevel="0" collapsed="false">
      <c r="A11" s="30" t="n">
        <v>26</v>
      </c>
      <c r="B11" s="29" t="n">
        <v>27</v>
      </c>
      <c r="C11" s="30" t="n">
        <v>28</v>
      </c>
      <c r="D11" s="29" t="n">
        <v>29</v>
      </c>
      <c r="E11" s="30" t="n">
        <v>30</v>
      </c>
      <c r="F11" s="29" t="n">
        <v>31</v>
      </c>
      <c r="G11" s="28"/>
    </row>
    <row r="12" customFormat="false" ht="69.75" hidden="false" customHeight="true" outlineLevel="0" collapsed="false">
      <c r="A12" s="33" t="s">
        <v>88</v>
      </c>
      <c r="B12" s="32"/>
      <c r="C12" s="33" t="s">
        <v>89</v>
      </c>
      <c r="D12" s="32" t="s">
        <v>90</v>
      </c>
      <c r="E12" s="33" t="s">
        <v>91</v>
      </c>
      <c r="F12" s="32"/>
      <c r="G12" s="31"/>
    </row>
    <row r="14" customFormat="false" ht="15" hidden="false" customHeight="false" outlineLevel="0" collapsed="false">
      <c r="A14" s="34" t="s">
        <v>92</v>
      </c>
      <c r="B14" s="35" t="s">
        <v>5</v>
      </c>
      <c r="C14" s="36" t="s">
        <v>93</v>
      </c>
    </row>
    <row r="15" customFormat="false" ht="15" hidden="false" customHeight="false" outlineLevel="0" collapsed="false">
      <c r="A15" s="16" t="s">
        <v>94</v>
      </c>
    </row>
  </sheetData>
  <mergeCells count="1">
    <mergeCell ref="A1:G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BD8"/>
    <pageSetUpPr fitToPage="true"/>
  </sheetPr>
  <dimension ref="A1:L1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1"/>
    <col collapsed="false" customWidth="true" hidden="false" outlineLevel="0" max="4" min="4" style="0" width="17"/>
    <col collapsed="false" customWidth="true" hidden="false" outlineLevel="0" max="5" min="5" style="0" width="19"/>
    <col collapsed="false" customWidth="true" hidden="false" outlineLevel="0" max="6" min="6" style="0" width="24"/>
    <col collapsed="false" customWidth="true" hidden="false" outlineLevel="0" max="7" min="7" style="0" width="45"/>
    <col collapsed="false" customWidth="true" hidden="false" outlineLevel="0" max="8" min="8" style="0" width="22"/>
    <col collapsed="false" customWidth="true" hidden="false" outlineLevel="0" max="9" min="9" style="0" width="18"/>
    <col collapsed="false" customWidth="true" hidden="false" outlineLevel="0" max="10" min="10" style="0" width="15"/>
    <col collapsed="false" customWidth="true" hidden="false" outlineLevel="0" max="11" min="11" style="0" width="14"/>
    <col collapsed="false" customWidth="true" hidden="false" outlineLevel="0" max="12" min="12" style="0" width="24"/>
  </cols>
  <sheetData>
    <row r="1" customFormat="false" ht="30" hidden="false" customHeight="true" outlineLevel="0" collapsed="false">
      <c r="A1" s="37" t="s">
        <v>52</v>
      </c>
      <c r="B1" s="37" t="s">
        <v>3</v>
      </c>
      <c r="C1" s="37" t="s">
        <v>95</v>
      </c>
      <c r="D1" s="38" t="s">
        <v>12</v>
      </c>
      <c r="E1" s="38" t="s">
        <v>96</v>
      </c>
      <c r="F1" s="38" t="s">
        <v>97</v>
      </c>
      <c r="G1" s="38" t="s">
        <v>98</v>
      </c>
      <c r="H1" s="38" t="s">
        <v>99</v>
      </c>
      <c r="I1" s="38" t="s">
        <v>100</v>
      </c>
      <c r="J1" s="38" t="s">
        <v>101</v>
      </c>
      <c r="K1" s="37" t="s">
        <v>42</v>
      </c>
      <c r="L1" s="38" t="s">
        <v>102</v>
      </c>
    </row>
    <row r="2" customFormat="false" ht="63.75" hidden="false" customHeight="true" outlineLevel="0" collapsed="false">
      <c r="A2" s="39" t="n">
        <v>46297</v>
      </c>
      <c r="B2" s="40" t="s">
        <v>5</v>
      </c>
      <c r="C2" s="41" t="s">
        <v>103</v>
      </c>
      <c r="D2" s="42" t="s">
        <v>14</v>
      </c>
      <c r="E2" s="42" t="s">
        <v>28</v>
      </c>
      <c r="F2" s="43" t="s">
        <v>104</v>
      </c>
      <c r="G2" s="42" t="s">
        <v>105</v>
      </c>
      <c r="H2" s="42" t="s">
        <v>106</v>
      </c>
      <c r="I2" s="42"/>
      <c r="J2" s="42" t="s">
        <v>107</v>
      </c>
      <c r="K2" s="41" t="s">
        <v>48</v>
      </c>
      <c r="L2" s="42" t="s">
        <v>108</v>
      </c>
    </row>
    <row r="3" customFormat="false" ht="63.75" hidden="false" customHeight="true" outlineLevel="0" collapsed="false">
      <c r="A3" s="39" t="n">
        <v>46300</v>
      </c>
      <c r="B3" s="40" t="s">
        <v>5</v>
      </c>
      <c r="C3" s="41" t="s">
        <v>109</v>
      </c>
      <c r="D3" s="42" t="s">
        <v>14</v>
      </c>
      <c r="E3" s="42" t="s">
        <v>28</v>
      </c>
      <c r="F3" s="43" t="s">
        <v>110</v>
      </c>
      <c r="G3" s="42" t="s">
        <v>111</v>
      </c>
      <c r="H3" s="42"/>
      <c r="I3" s="42"/>
      <c r="J3" s="42" t="s">
        <v>107</v>
      </c>
      <c r="K3" s="41" t="s">
        <v>48</v>
      </c>
      <c r="L3" s="42" t="s">
        <v>112</v>
      </c>
    </row>
    <row r="4" customFormat="false" ht="63.75" hidden="false" customHeight="true" outlineLevel="0" collapsed="false">
      <c r="A4" s="39" t="n">
        <v>46302</v>
      </c>
      <c r="B4" s="40" t="s">
        <v>5</v>
      </c>
      <c r="C4" s="41" t="s">
        <v>103</v>
      </c>
      <c r="D4" s="42" t="s">
        <v>14</v>
      </c>
      <c r="E4" s="42" t="s">
        <v>28</v>
      </c>
      <c r="F4" s="43" t="s">
        <v>113</v>
      </c>
      <c r="G4" s="42" t="s">
        <v>114</v>
      </c>
      <c r="H4" s="42" t="s">
        <v>115</v>
      </c>
      <c r="I4" s="42"/>
      <c r="J4" s="42" t="s">
        <v>107</v>
      </c>
      <c r="K4" s="41" t="s">
        <v>48</v>
      </c>
      <c r="L4" s="42" t="s">
        <v>116</v>
      </c>
    </row>
    <row r="5" customFormat="false" ht="63.75" hidden="false" customHeight="true" outlineLevel="0" collapsed="false">
      <c r="A5" s="39" t="n">
        <v>46304</v>
      </c>
      <c r="B5" s="40" t="s">
        <v>5</v>
      </c>
      <c r="C5" s="41" t="s">
        <v>103</v>
      </c>
      <c r="D5" s="42" t="s">
        <v>14</v>
      </c>
      <c r="E5" s="42" t="s">
        <v>28</v>
      </c>
      <c r="F5" s="43" t="s">
        <v>117</v>
      </c>
      <c r="G5" s="42" t="s">
        <v>118</v>
      </c>
      <c r="H5" s="42" t="s">
        <v>119</v>
      </c>
      <c r="I5" s="42"/>
      <c r="J5" s="42" t="s">
        <v>107</v>
      </c>
      <c r="K5" s="41" t="s">
        <v>48</v>
      </c>
      <c r="L5" s="42" t="s">
        <v>120</v>
      </c>
    </row>
    <row r="6" customFormat="false" ht="63.75" hidden="false" customHeight="true" outlineLevel="0" collapsed="false">
      <c r="A6" s="39" t="n">
        <v>46307</v>
      </c>
      <c r="B6" s="40" t="s">
        <v>5</v>
      </c>
      <c r="C6" s="41" t="s">
        <v>121</v>
      </c>
      <c r="D6" s="42" t="s">
        <v>16</v>
      </c>
      <c r="E6" s="42" t="s">
        <v>28</v>
      </c>
      <c r="F6" s="43" t="s">
        <v>122</v>
      </c>
      <c r="G6" s="42" t="s">
        <v>123</v>
      </c>
      <c r="H6" s="42"/>
      <c r="I6" s="42"/>
      <c r="J6" s="42" t="s">
        <v>107</v>
      </c>
      <c r="K6" s="41" t="s">
        <v>48</v>
      </c>
      <c r="L6" s="42" t="s">
        <v>124</v>
      </c>
    </row>
    <row r="7" customFormat="false" ht="63.75" hidden="false" customHeight="true" outlineLevel="0" collapsed="false">
      <c r="A7" s="39" t="n">
        <v>46309</v>
      </c>
      <c r="B7" s="40" t="s">
        <v>5</v>
      </c>
      <c r="C7" s="41" t="s">
        <v>103</v>
      </c>
      <c r="D7" s="42" t="s">
        <v>18</v>
      </c>
      <c r="E7" s="42" t="s">
        <v>30</v>
      </c>
      <c r="F7" s="43" t="s">
        <v>125</v>
      </c>
      <c r="G7" s="42" t="s">
        <v>126</v>
      </c>
      <c r="H7" s="42" t="s">
        <v>127</v>
      </c>
      <c r="I7" s="42" t="s">
        <v>128</v>
      </c>
      <c r="J7" s="42" t="s">
        <v>7</v>
      </c>
      <c r="K7" s="41" t="s">
        <v>48</v>
      </c>
      <c r="L7" s="42"/>
    </row>
    <row r="8" customFormat="false" ht="63.75" hidden="false" customHeight="true" outlineLevel="0" collapsed="false">
      <c r="A8" s="39" t="n">
        <v>46311</v>
      </c>
      <c r="B8" s="40" t="s">
        <v>5</v>
      </c>
      <c r="C8" s="41" t="s">
        <v>103</v>
      </c>
      <c r="D8" s="42" t="s">
        <v>14</v>
      </c>
      <c r="E8" s="42" t="s">
        <v>28</v>
      </c>
      <c r="F8" s="43" t="s">
        <v>129</v>
      </c>
      <c r="G8" s="42" t="s">
        <v>130</v>
      </c>
      <c r="H8" s="42" t="s">
        <v>131</v>
      </c>
      <c r="I8" s="42"/>
      <c r="J8" s="42" t="s">
        <v>107</v>
      </c>
      <c r="K8" s="41" t="s">
        <v>48</v>
      </c>
      <c r="L8" s="42" t="s">
        <v>132</v>
      </c>
    </row>
    <row r="9" customFormat="false" ht="63.75" hidden="false" customHeight="true" outlineLevel="0" collapsed="false">
      <c r="A9" s="39" t="n">
        <v>46314</v>
      </c>
      <c r="B9" s="40" t="s">
        <v>5</v>
      </c>
      <c r="C9" s="41" t="s">
        <v>109</v>
      </c>
      <c r="D9" s="42" t="s">
        <v>18</v>
      </c>
      <c r="E9" s="42" t="s">
        <v>30</v>
      </c>
      <c r="F9" s="43" t="s">
        <v>133</v>
      </c>
      <c r="G9" s="42" t="s">
        <v>134</v>
      </c>
      <c r="H9" s="42"/>
      <c r="I9" s="42" t="s">
        <v>60</v>
      </c>
      <c r="J9" s="42" t="s">
        <v>7</v>
      </c>
      <c r="K9" s="41" t="s">
        <v>47</v>
      </c>
      <c r="L9" s="42" t="s">
        <v>135</v>
      </c>
    </row>
    <row r="10" customFormat="false" ht="63.75" hidden="false" customHeight="true" outlineLevel="0" collapsed="false">
      <c r="A10" s="39" t="n">
        <v>46316</v>
      </c>
      <c r="B10" s="40" t="s">
        <v>5</v>
      </c>
      <c r="C10" s="41" t="s">
        <v>103</v>
      </c>
      <c r="D10" s="42" t="s">
        <v>14</v>
      </c>
      <c r="E10" s="42" t="s">
        <v>29</v>
      </c>
      <c r="F10" s="43" t="s">
        <v>136</v>
      </c>
      <c r="G10" s="42" t="s">
        <v>137</v>
      </c>
      <c r="H10" s="42" t="s">
        <v>138</v>
      </c>
      <c r="I10" s="42"/>
      <c r="J10" s="42" t="s">
        <v>107</v>
      </c>
      <c r="K10" s="41" t="s">
        <v>47</v>
      </c>
      <c r="L10" s="42" t="s">
        <v>139</v>
      </c>
    </row>
    <row r="11" customFormat="false" ht="63.75" hidden="false" customHeight="true" outlineLevel="0" collapsed="false">
      <c r="A11" s="39" t="n">
        <v>46318</v>
      </c>
      <c r="B11" s="40" t="s">
        <v>5</v>
      </c>
      <c r="C11" s="41" t="s">
        <v>103</v>
      </c>
      <c r="D11" s="42" t="s">
        <v>18</v>
      </c>
      <c r="E11" s="42" t="s">
        <v>31</v>
      </c>
      <c r="F11" s="43" t="s">
        <v>140</v>
      </c>
      <c r="G11" s="42" t="s">
        <v>141</v>
      </c>
      <c r="H11" s="42" t="s">
        <v>142</v>
      </c>
      <c r="I11" s="42"/>
      <c r="J11" s="42" t="s">
        <v>7</v>
      </c>
      <c r="K11" s="41" t="s">
        <v>47</v>
      </c>
      <c r="L11" s="42" t="s">
        <v>143</v>
      </c>
    </row>
    <row r="12" customFormat="false" ht="63.75" hidden="false" customHeight="true" outlineLevel="0" collapsed="false">
      <c r="A12" s="39" t="n">
        <v>46321</v>
      </c>
      <c r="B12" s="40" t="s">
        <v>5</v>
      </c>
      <c r="C12" s="41" t="s">
        <v>109</v>
      </c>
      <c r="D12" s="42" t="s">
        <v>18</v>
      </c>
      <c r="E12" s="42" t="s">
        <v>30</v>
      </c>
      <c r="F12" s="43" t="s">
        <v>144</v>
      </c>
      <c r="G12" s="42" t="s">
        <v>145</v>
      </c>
      <c r="H12" s="42"/>
      <c r="I12" s="42"/>
      <c r="J12" s="42" t="s">
        <v>7</v>
      </c>
      <c r="K12" s="41" t="s">
        <v>47</v>
      </c>
      <c r="L12" s="42" t="s">
        <v>146</v>
      </c>
    </row>
    <row r="13" customFormat="false" ht="63.75" hidden="false" customHeight="true" outlineLevel="0" collapsed="false">
      <c r="A13" s="39" t="n">
        <v>46323</v>
      </c>
      <c r="B13" s="40" t="s">
        <v>5</v>
      </c>
      <c r="C13" s="41" t="s">
        <v>103</v>
      </c>
      <c r="D13" s="42" t="s">
        <v>18</v>
      </c>
      <c r="E13" s="42" t="s">
        <v>30</v>
      </c>
      <c r="F13" s="43" t="s">
        <v>147</v>
      </c>
      <c r="G13" s="42" t="s">
        <v>148</v>
      </c>
      <c r="H13" s="42" t="s">
        <v>149</v>
      </c>
      <c r="I13" s="42" t="s">
        <v>150</v>
      </c>
      <c r="J13" s="42" t="s">
        <v>7</v>
      </c>
      <c r="K13" s="41" t="s">
        <v>47</v>
      </c>
      <c r="L13" s="42" t="s">
        <v>151</v>
      </c>
    </row>
    <row r="14" customFormat="false" ht="63.75" hidden="false" customHeight="true" outlineLevel="0" collapsed="false">
      <c r="A14" s="39" t="n">
        <v>46325</v>
      </c>
      <c r="B14" s="40" t="s">
        <v>5</v>
      </c>
      <c r="C14" s="41" t="s">
        <v>121</v>
      </c>
      <c r="D14" s="42" t="s">
        <v>14</v>
      </c>
      <c r="E14" s="42" t="s">
        <v>29</v>
      </c>
      <c r="F14" s="43" t="s">
        <v>152</v>
      </c>
      <c r="G14" s="42" t="s">
        <v>153</v>
      </c>
      <c r="H14" s="42"/>
      <c r="I14" s="42"/>
      <c r="J14" s="42" t="s">
        <v>107</v>
      </c>
      <c r="K14" s="41" t="s">
        <v>47</v>
      </c>
      <c r="L14" s="42" t="s">
        <v>154</v>
      </c>
    </row>
  </sheetData>
  <autoFilter ref="A1:L14"/>
  <conditionalFormatting sqref="K2:K74">
    <cfRule type="expression" priority="2" aboveAverage="0" equalAverage="0" bottom="0" percent="0" rank="0" text="" dxfId="6">
      <formula>$K2="Scheduled"</formula>
    </cfRule>
    <cfRule type="expression" priority="3" aboveAverage="0" equalAverage="0" bottom="0" percent="0" rank="0" text="" dxfId="7">
      <formula>$K2="Awaiting Approval"</formula>
    </cfRule>
    <cfRule type="expression" priority="4" aboveAverage="0" equalAverage="0" bottom="0" percent="0" rank="0" text="" dxfId="8">
      <formula>$K2="Drafted"</formula>
    </cfRule>
    <cfRule type="expression" priority="5" aboveAverage="0" equalAverage="0" bottom="0" percent="0" rank="0" text="" dxfId="9">
      <formula>$K2="In Design"</formula>
    </cfRule>
    <cfRule type="expression" priority="6" aboveAverage="0" equalAverage="0" bottom="0" percent="0" rank="0" text="" dxfId="10">
      <formula>$K2="Published"</formula>
    </cfRule>
  </conditionalFormatting>
  <dataValidations count="5">
    <dataValidation allowBlank="true" errorStyle="stop" operator="between" showDropDown="false" showErrorMessage="false" showInputMessage="false" sqref="B2:B74" type="list">
      <formula1>"Instagram,Facebook,Telegram"</formula1>
      <formula2>0</formula2>
    </dataValidation>
    <dataValidation allowBlank="true" errorStyle="stop" operator="between" showDropDown="false" showErrorMessage="false" showInputMessage="false" sqref="C2:C74" type="list">
      <formula1>"Reel,Carousel,Static,Story,Text + image,Document carousel"</formula1>
      <formula2>0</formula2>
    </dataValidation>
    <dataValidation allowBlank="true" errorStyle="stop" operator="between" showDropDown="false" showErrorMessage="false" showInputMessage="false" sqref="D2:D74" type="list">
      <formula1>"Power Up Players S1,Move It! Challenge,Midweek Reset,Always-on"</formula1>
      <formula2>0</formula2>
    </dataValidation>
    <dataValidation allowBlank="true" errorStyle="stop" operator="between" showDropDown="false" showErrorMessage="false" showInputMessage="false" sqref="E2:E74" type="list">
      <formula1>"Programme Promotion,Community &amp; Participants,Health Education,Instructors &amp; Behind the Scenes,Seasonal &amp; Culture"</formula1>
      <formula2>0</formula2>
    </dataValidation>
    <dataValidation allowBlank="true" errorStyle="stop" operator="between" showDropDown="false" showErrorMessage="false" showInputMessage="false" sqref="K2:K74" type="list">
      <formula1>"Idea,Drafted,In Design,Awaiting Approval,Scheduled,Published"</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C4B6"/>
    <pageSetUpPr fitToPage="tru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52"/>
  </cols>
  <sheetData>
    <row r="1" customFormat="false" ht="25.5" hidden="false" customHeight="true" outlineLevel="0" collapsed="false">
      <c r="A1" s="44" t="s">
        <v>155</v>
      </c>
      <c r="B1" s="45" t="s">
        <v>14</v>
      </c>
      <c r="C1" s="45" t="s">
        <v>16</v>
      </c>
    </row>
    <row r="2" customFormat="false" ht="34.5" hidden="false" customHeight="true" outlineLevel="0" collapsed="false">
      <c r="A2" s="46" t="s">
        <v>13</v>
      </c>
      <c r="B2" s="47" t="s">
        <v>156</v>
      </c>
      <c r="C2" s="47" t="s">
        <v>157</v>
      </c>
    </row>
    <row r="3" customFormat="false" ht="34.5" hidden="false" customHeight="true" outlineLevel="0" collapsed="false">
      <c r="A3" s="46" t="s">
        <v>158</v>
      </c>
      <c r="B3" s="47" t="s">
        <v>159</v>
      </c>
      <c r="C3" s="47" t="s">
        <v>160</v>
      </c>
    </row>
    <row r="4" customFormat="false" ht="34.5" hidden="false" customHeight="true" outlineLevel="0" collapsed="false">
      <c r="A4" s="46" t="s">
        <v>161</v>
      </c>
      <c r="B4" s="47" t="s">
        <v>162</v>
      </c>
      <c r="C4" s="47" t="s">
        <v>163</v>
      </c>
    </row>
    <row r="5" customFormat="false" ht="34.5" hidden="false" customHeight="true" outlineLevel="0" collapsed="false">
      <c r="A5" s="46" t="s">
        <v>164</v>
      </c>
      <c r="B5" s="47" t="s">
        <v>165</v>
      </c>
      <c r="C5" s="47" t="s">
        <v>166</v>
      </c>
    </row>
    <row r="6" customFormat="false" ht="60" hidden="false" customHeight="true" outlineLevel="0" collapsed="false">
      <c r="A6" s="46" t="s">
        <v>167</v>
      </c>
      <c r="B6" s="47" t="s">
        <v>168</v>
      </c>
      <c r="C6" s="47" t="s">
        <v>169</v>
      </c>
    </row>
    <row r="7" customFormat="false" ht="34.5" hidden="false" customHeight="true" outlineLevel="0" collapsed="false">
      <c r="A7" s="46" t="s">
        <v>170</v>
      </c>
      <c r="B7" s="47" t="s">
        <v>171</v>
      </c>
      <c r="C7" s="47" t="s">
        <v>172</v>
      </c>
    </row>
    <row r="8" customFormat="false" ht="47.25" hidden="false" customHeight="true" outlineLevel="0" collapsed="false">
      <c r="A8" s="46" t="s">
        <v>173</v>
      </c>
      <c r="B8" s="47" t="s">
        <v>174</v>
      </c>
      <c r="C8" s="47" t="s">
        <v>175</v>
      </c>
    </row>
    <row r="9" customFormat="false" ht="34.5" hidden="false" customHeight="true" outlineLevel="0" collapsed="false">
      <c r="A9" s="46" t="s">
        <v>176</v>
      </c>
      <c r="B9" s="47" t="s">
        <v>177</v>
      </c>
      <c r="C9" s="47" t="s">
        <v>178</v>
      </c>
    </row>
    <row r="10" customFormat="false" ht="22.5" hidden="false" customHeight="true" outlineLevel="0" collapsed="false">
      <c r="A10" s="46" t="s">
        <v>179</v>
      </c>
      <c r="B10" s="47" t="s">
        <v>180</v>
      </c>
      <c r="C10" s="47" t="s">
        <v>181</v>
      </c>
    </row>
    <row r="11" customFormat="false" ht="34.5" hidden="false" customHeight="true" outlineLevel="0" collapsed="false">
      <c r="A11" s="46" t="s">
        <v>102</v>
      </c>
      <c r="B11" s="47" t="s">
        <v>182</v>
      </c>
      <c r="C11" s="47" t="s">
        <v>183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2026-09-27T07:41:15Z</dcterms:created>
  <dc:creator>openpyxl</dc:creator>
  <dc:description/>
  <dc:language>en-US</dc:language>
  <cp:lastModifiedBy/>
  <dcterms:modified xsi:type="dcterms:W3CDTF">2026-09-27T07:41:15Z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